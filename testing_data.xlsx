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 showInkAnnotation="0"/>
  <mc:AlternateContent xmlns:mc="http://schemas.openxmlformats.org/markup-compatibility/2006">
    <mc:Choice Requires="x15">
      <x15ac:absPath xmlns:x15ac="http://schemas.microsoft.com/office/spreadsheetml/2010/11/ac" url="C:\Users\kailin.zhuang\Desktop\检验方案\"/>
    </mc:Choice>
  </mc:AlternateContent>
  <xr:revisionPtr revIDLastSave="0" documentId="13_ncr:1_{6534EC4D-E92A-4851-9E4C-022AEDFD3FAD}" xr6:coauthVersionLast="47" xr6:coauthVersionMax="47" xr10:uidLastSave="{00000000-0000-0000-0000-000000000000}"/>
  <bookViews>
    <workbookView xWindow="1185" yWindow="2460" windowWidth="18645" windowHeight="12990" tabRatio="617" xr2:uid="{00000000-000D-0000-FFFF-FFFF00000000}"/>
  </bookViews>
  <sheets>
    <sheet name="1-1" sheetId="1" r:id="rId1"/>
    <sheet name="1-2" sheetId="2" r:id="rId2"/>
    <sheet name="1-3" sheetId="3" r:id="rId3"/>
    <sheet name="1-4" sheetId="9" r:id="rId4"/>
    <sheet name="1-5" sheetId="5" r:id="rId5"/>
    <sheet name="2-1" sheetId="6" r:id="rId6"/>
    <sheet name="2-2" sheetId="7" r:id="rId7"/>
    <sheet name="2-3" sheetId="8" r:id="rId8"/>
  </sheets>
  <definedNames>
    <definedName name="_xlnm._FilterDatabase" localSheetId="3" hidden="1">'1-4'!$A$1:$I$10</definedName>
    <definedName name="_xlnm._FilterDatabase" localSheetId="4" hidden="1">'1-5'!$A$1:$K$11</definedName>
    <definedName name="_xlnm._FilterDatabase" localSheetId="5" hidden="1">'2-1'!$A$1:$D$7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3" l="1"/>
  <c r="E11" i="3"/>
  <c r="C10" i="3"/>
  <c r="D10" i="3"/>
  <c r="D11" i="3"/>
  <c r="C11" i="3"/>
  <c r="H8" i="2"/>
  <c r="I8" i="2"/>
  <c r="I4" i="2"/>
  <c r="I5" i="2"/>
  <c r="I6" i="2"/>
  <c r="I7" i="2"/>
  <c r="I9" i="2"/>
  <c r="I3" i="2"/>
  <c r="I2" i="2"/>
  <c r="I5" i="9"/>
  <c r="I6" i="9"/>
  <c r="I7" i="9"/>
  <c r="I8" i="9"/>
  <c r="I9" i="9"/>
  <c r="I10" i="9"/>
  <c r="H4" i="9"/>
  <c r="H5" i="9"/>
  <c r="H6" i="9"/>
  <c r="H7" i="9"/>
  <c r="H8" i="9"/>
  <c r="H9" i="9"/>
  <c r="H10" i="9"/>
  <c r="I4" i="9"/>
  <c r="I3" i="9"/>
  <c r="H3" i="9"/>
  <c r="I2" i="9"/>
  <c r="H2" i="9"/>
  <c r="J9" i="1"/>
  <c r="J8" i="1"/>
  <c r="J7" i="1"/>
  <c r="J6" i="1"/>
  <c r="J5" i="1"/>
  <c r="J4" i="1"/>
  <c r="J3" i="1"/>
  <c r="J2" i="1"/>
  <c r="I9" i="1"/>
  <c r="I8" i="1"/>
  <c r="I7" i="1"/>
  <c r="I6" i="1"/>
  <c r="I5" i="1"/>
  <c r="I4" i="1"/>
  <c r="I3" i="1"/>
  <c r="I2" i="1"/>
  <c r="K11" i="5"/>
  <c r="K5" i="5"/>
  <c r="J4" i="5"/>
  <c r="K4" i="5"/>
  <c r="J5" i="5"/>
  <c r="J6" i="5"/>
  <c r="K6" i="5"/>
  <c r="J7" i="5"/>
  <c r="K7" i="5"/>
  <c r="J8" i="5"/>
  <c r="K8" i="5"/>
  <c r="J9" i="5"/>
  <c r="K9" i="5"/>
  <c r="J10" i="5"/>
  <c r="K10" i="5"/>
  <c r="J11" i="5"/>
  <c r="K3" i="5"/>
  <c r="J3" i="5"/>
  <c r="K2" i="5"/>
  <c r="J2" i="5"/>
  <c r="I11" i="5"/>
  <c r="F11" i="5"/>
  <c r="H11" i="5" s="1"/>
  <c r="E11" i="5"/>
  <c r="I8" i="5"/>
  <c r="F9" i="5"/>
  <c r="H9" i="5" s="1"/>
  <c r="E9" i="5"/>
  <c r="I9" i="5"/>
  <c r="I10" i="5"/>
  <c r="F10" i="5"/>
  <c r="E10" i="5"/>
  <c r="H10" i="5"/>
  <c r="F8" i="5"/>
  <c r="H8" i="5" s="1"/>
  <c r="E8" i="5"/>
  <c r="I7" i="5"/>
  <c r="F7" i="5"/>
  <c r="E7" i="5"/>
  <c r="E6" i="5"/>
  <c r="G6" i="5" s="1"/>
  <c r="H7" i="5"/>
  <c r="I5" i="5"/>
  <c r="F5" i="5"/>
  <c r="E5" i="5"/>
  <c r="H5" i="5"/>
  <c r="I3" i="5"/>
  <c r="H3" i="5"/>
  <c r="F3" i="5"/>
  <c r="E3" i="5"/>
  <c r="G3" i="5"/>
  <c r="I6" i="5"/>
  <c r="F6" i="5"/>
  <c r="H6" i="5" s="1"/>
  <c r="E4" i="5"/>
  <c r="I4" i="5"/>
  <c r="F4" i="5"/>
  <c r="H4" i="5"/>
  <c r="I2" i="5"/>
  <c r="F2" i="5"/>
  <c r="H2" i="5" s="1"/>
  <c r="E2" i="5"/>
  <c r="G2" i="5" s="1"/>
  <c r="C3" i="8"/>
  <c r="E3" i="8" s="1"/>
  <c r="D2" i="8"/>
  <c r="C2" i="8"/>
  <c r="E2" i="8" s="1"/>
  <c r="C9" i="8"/>
  <c r="E9" i="8" s="1"/>
  <c r="C8" i="8"/>
  <c r="E8" i="8" s="1"/>
  <c r="D9" i="8"/>
  <c r="D8" i="8"/>
  <c r="C7" i="8"/>
  <c r="D7" i="8"/>
  <c r="E7" i="8" s="1"/>
  <c r="C6" i="8"/>
  <c r="D6" i="8"/>
  <c r="E6" i="8"/>
  <c r="C5" i="8"/>
  <c r="E5" i="8" s="1"/>
  <c r="D5" i="8"/>
  <c r="D4" i="8"/>
  <c r="E4" i="8" s="1"/>
  <c r="C4" i="8"/>
  <c r="D3" i="8"/>
  <c r="G4" i="9"/>
  <c r="F4" i="9"/>
  <c r="E4" i="9"/>
  <c r="D4" i="9"/>
  <c r="G3" i="9"/>
  <c r="F3" i="9"/>
  <c r="E3" i="9"/>
  <c r="D3" i="9"/>
  <c r="G7" i="9"/>
  <c r="F7" i="9"/>
  <c r="E7" i="9"/>
  <c r="D7" i="9"/>
  <c r="G6" i="9"/>
  <c r="F6" i="9"/>
  <c r="E6" i="9"/>
  <c r="D6" i="9"/>
  <c r="G10" i="9"/>
  <c r="F10" i="9"/>
  <c r="E10" i="9"/>
  <c r="D10" i="9"/>
  <c r="G9" i="9"/>
  <c r="F9" i="9"/>
  <c r="E9" i="9"/>
  <c r="D9" i="9"/>
  <c r="G8" i="9"/>
  <c r="F8" i="9"/>
  <c r="E8" i="9"/>
  <c r="D8" i="9"/>
  <c r="G5" i="9"/>
  <c r="F5" i="9"/>
  <c r="E5" i="9"/>
  <c r="D5" i="9"/>
  <c r="G2" i="9"/>
  <c r="F2" i="9"/>
  <c r="E2" i="9"/>
  <c r="D2" i="9"/>
  <c r="D7" i="6"/>
  <c r="D6" i="6"/>
  <c r="D5" i="6"/>
  <c r="D9" i="7"/>
  <c r="D8" i="7"/>
  <c r="D7" i="7"/>
  <c r="D6" i="7"/>
  <c r="D5" i="7"/>
  <c r="D4" i="7"/>
  <c r="D3" i="7"/>
  <c r="D2" i="7"/>
  <c r="C9" i="7"/>
  <c r="C8" i="7"/>
  <c r="C7" i="7"/>
  <c r="C6" i="7"/>
  <c r="C5" i="7"/>
  <c r="C4" i="7"/>
  <c r="C3" i="7"/>
  <c r="C2" i="7"/>
  <c r="G2" i="2"/>
  <c r="H7" i="2"/>
  <c r="G7" i="2"/>
  <c r="E9" i="7"/>
  <c r="E9" i="3"/>
  <c r="D9" i="3"/>
  <c r="C9" i="3"/>
  <c r="H9" i="2"/>
  <c r="G9" i="2"/>
  <c r="D9" i="1"/>
  <c r="C9" i="1"/>
  <c r="E9" i="1"/>
  <c r="H9" i="1"/>
  <c r="G9" i="1"/>
  <c r="F9" i="1"/>
  <c r="E8" i="7"/>
  <c r="C8" i="3"/>
  <c r="D8" i="3"/>
  <c r="E8" i="3"/>
  <c r="G8" i="2"/>
  <c r="H8" i="1"/>
  <c r="G8" i="1"/>
  <c r="F8" i="1"/>
  <c r="E8" i="1"/>
  <c r="D8" i="1"/>
  <c r="C8" i="1"/>
  <c r="E7" i="7"/>
  <c r="E6" i="7"/>
  <c r="C7" i="3"/>
  <c r="D7" i="3"/>
  <c r="E7" i="3"/>
  <c r="H6" i="2"/>
  <c r="G6" i="2"/>
  <c r="H5" i="2"/>
  <c r="G5" i="2"/>
  <c r="H4" i="2"/>
  <c r="G4" i="2"/>
  <c r="H3" i="2"/>
  <c r="G3" i="2"/>
  <c r="H2" i="2"/>
  <c r="H7" i="1"/>
  <c r="G7" i="1"/>
  <c r="F7" i="1"/>
  <c r="E7" i="1"/>
  <c r="D7" i="1"/>
  <c r="C7" i="1"/>
  <c r="D6" i="3"/>
  <c r="C6" i="3"/>
  <c r="E6" i="3"/>
  <c r="H6" i="1"/>
  <c r="G6" i="1"/>
  <c r="F6" i="1"/>
  <c r="E6" i="1"/>
  <c r="D6" i="1"/>
  <c r="C6" i="1"/>
  <c r="E5" i="7"/>
  <c r="E5" i="3"/>
  <c r="D5" i="3"/>
  <c r="C5" i="3"/>
  <c r="H5" i="1"/>
  <c r="G5" i="1"/>
  <c r="F5" i="1"/>
  <c r="E5" i="1"/>
  <c r="D5" i="1"/>
  <c r="C5" i="1"/>
  <c r="E4" i="3"/>
  <c r="D4" i="3"/>
  <c r="C4" i="3"/>
  <c r="C4" i="1"/>
  <c r="D4" i="1"/>
  <c r="E4" i="1"/>
  <c r="F4" i="1"/>
  <c r="G4" i="1"/>
  <c r="H4" i="1"/>
  <c r="E4" i="7"/>
  <c r="D4" i="6"/>
  <c r="D3" i="6"/>
  <c r="D2" i="6"/>
  <c r="E3" i="3"/>
  <c r="D3" i="3"/>
  <c r="C3" i="3"/>
  <c r="C3" i="1"/>
  <c r="D3" i="1"/>
  <c r="E3" i="1"/>
  <c r="F3" i="1"/>
  <c r="G3" i="1"/>
  <c r="H3" i="1"/>
  <c r="G11" i="5" l="1"/>
  <c r="G9" i="5"/>
  <c r="G10" i="5"/>
  <c r="G8" i="5"/>
  <c r="G7" i="5"/>
  <c r="G5" i="5"/>
  <c r="G4" i="5"/>
  <c r="E3" i="7"/>
  <c r="E2" i="7" l="1"/>
  <c r="E2" i="3"/>
  <c r="D2" i="3"/>
  <c r="C2" i="3"/>
  <c r="C2" i="2"/>
  <c r="D2" i="2"/>
  <c r="F2" i="2"/>
  <c r="E2" i="2"/>
  <c r="H2" i="1"/>
  <c r="G2" i="1"/>
  <c r="F2" i="1"/>
  <c r="E2" i="1"/>
  <c r="D2" i="1"/>
  <c r="C2" i="1"/>
</calcChain>
</file>

<file path=xl/sharedStrings.xml><?xml version="1.0" encoding="utf-8"?>
<sst xmlns="http://schemas.openxmlformats.org/spreadsheetml/2006/main" count="92" uniqueCount="42">
  <si>
    <t>Difference of Length</t>
    <phoneticPr fontId="1" type="noConversion"/>
  </si>
  <si>
    <t>Difference of Width</t>
    <phoneticPr fontId="1" type="noConversion"/>
  </si>
  <si>
    <t>Group Number</t>
    <phoneticPr fontId="1" type="noConversion"/>
  </si>
  <si>
    <t>z-Distance</t>
    <phoneticPr fontId="1" type="noConversion"/>
  </si>
  <si>
    <t>Length</t>
    <phoneticPr fontId="1" type="noConversion"/>
  </si>
  <si>
    <t>Width</t>
    <phoneticPr fontId="1" type="noConversion"/>
  </si>
  <si>
    <t>Intersection Area</t>
    <phoneticPr fontId="1" type="noConversion"/>
  </si>
  <si>
    <t>Union Area</t>
    <phoneticPr fontId="1" type="noConversion"/>
  </si>
  <si>
    <t>IoU</t>
    <phoneticPr fontId="1" type="noConversion"/>
  </si>
  <si>
    <t>Object Plane</t>
    <phoneticPr fontId="1" type="noConversion"/>
  </si>
  <si>
    <t>Position ID</t>
    <phoneticPr fontId="1" type="noConversion"/>
  </si>
  <si>
    <t>Point-Plane Difference</t>
    <phoneticPr fontId="1" type="noConversion"/>
  </si>
  <si>
    <t>Separate Interval</t>
    <phoneticPr fontId="1" type="noConversion"/>
  </si>
  <si>
    <t>IoU = AND area / OR area</t>
    <phoneticPr fontId="1" type="noConversion"/>
  </si>
  <si>
    <t>Depth</t>
    <phoneticPr fontId="1" type="noConversion"/>
  </si>
  <si>
    <t>Difference of Depth</t>
    <phoneticPr fontId="1" type="noConversion"/>
  </si>
  <si>
    <t>AD = | length - groundtrue length | + | width - groundtrue width |</t>
    <phoneticPr fontId="1" type="noConversion"/>
  </si>
  <si>
    <r>
      <t>Mean Length</t>
    </r>
    <r>
      <rPr>
        <sz val="8"/>
        <color theme="1"/>
        <rFont val="等线"/>
        <family val="3"/>
        <charset val="134"/>
        <scheme val="minor"/>
      </rPr>
      <t>(ten cycle)</t>
    </r>
    <phoneticPr fontId="1" type="noConversion"/>
  </si>
  <si>
    <r>
      <t>Mean Width</t>
    </r>
    <r>
      <rPr>
        <sz val="8"/>
        <color theme="1"/>
        <rFont val="等线"/>
        <family val="3"/>
        <charset val="134"/>
        <scheme val="minor"/>
      </rPr>
      <t>(ten cycle)</t>
    </r>
    <phoneticPr fontId="1" type="noConversion"/>
  </si>
  <si>
    <r>
      <t>Length</t>
    </r>
    <r>
      <rPr>
        <sz val="8"/>
        <color theme="1"/>
        <rFont val="等线"/>
        <family val="3"/>
        <charset val="134"/>
        <scheme val="minor"/>
      </rPr>
      <t>(avg of n box)</t>
    </r>
    <phoneticPr fontId="1" type="noConversion"/>
  </si>
  <si>
    <r>
      <t>Width</t>
    </r>
    <r>
      <rPr>
        <sz val="8"/>
        <color theme="1"/>
        <rFont val="等线"/>
        <family val="3"/>
        <charset val="134"/>
        <scheme val="minor"/>
      </rPr>
      <t>(avg of n box)</t>
    </r>
    <phoneticPr fontId="1" type="noConversion"/>
  </si>
  <si>
    <t>Accumulate Absolute Difference</t>
    <phoneticPr fontId="1" type="noConversion"/>
  </si>
  <si>
    <t>Accumulate Relative Difference</t>
    <phoneticPr fontId="1" type="noConversion"/>
  </si>
  <si>
    <t>Image Type</t>
    <phoneticPr fontId="1" type="noConversion"/>
  </si>
  <si>
    <t>RGB</t>
    <phoneticPr fontId="1" type="noConversion"/>
  </si>
  <si>
    <t>IR</t>
    <phoneticPr fontId="1" type="noConversion"/>
  </si>
  <si>
    <r>
      <t>Variance = Σ（length - mean length）</t>
    </r>
    <r>
      <rPr>
        <sz val="6"/>
        <color theme="1"/>
        <rFont val="等线"/>
        <family val="3"/>
        <charset val="134"/>
        <scheme val="minor"/>
      </rPr>
      <t>^2</t>
    </r>
    <r>
      <rPr>
        <sz val="11"/>
        <color theme="1"/>
        <rFont val="等线"/>
        <family val="3"/>
        <charset val="134"/>
        <scheme val="minor"/>
      </rPr>
      <t xml:space="preserve">  /n </t>
    </r>
    <r>
      <rPr>
        <sz val="11"/>
        <color theme="1"/>
        <rFont val="等线"/>
        <family val="2"/>
        <scheme val="minor"/>
      </rPr>
      <t>+ Σ（width - mean width）</t>
    </r>
    <r>
      <rPr>
        <sz val="6"/>
        <color theme="1"/>
        <rFont val="等线"/>
        <family val="3"/>
        <charset val="134"/>
        <scheme val="minor"/>
      </rPr>
      <t>^2</t>
    </r>
    <r>
      <rPr>
        <sz val="11"/>
        <color theme="1"/>
        <rFont val="等线"/>
        <family val="2"/>
        <scheme val="minor"/>
      </rPr>
      <t xml:space="preserve"> /n </t>
    </r>
    <phoneticPr fontId="1" type="noConversion"/>
  </si>
  <si>
    <t>Ground True(mm): 245×155×90</t>
    <phoneticPr fontId="1" type="noConversion"/>
  </si>
  <si>
    <t>xy: 245×155</t>
    <phoneticPr fontId="1" type="noConversion"/>
  </si>
  <si>
    <t>yz: 245×90</t>
    <phoneticPr fontId="1" type="noConversion"/>
  </si>
  <si>
    <t>zx: 90×155</t>
    <phoneticPr fontId="1" type="noConversion"/>
  </si>
  <si>
    <r>
      <t>Working Time</t>
    </r>
    <r>
      <rPr>
        <sz val="9"/>
        <color theme="1"/>
        <rFont val="等线"/>
        <family val="3"/>
        <charset val="134"/>
        <scheme val="minor"/>
      </rPr>
      <t>(min)</t>
    </r>
    <phoneticPr fontId="1" type="noConversion"/>
  </si>
  <si>
    <t>Variance of Length</t>
    <phoneticPr fontId="1" type="noConversion"/>
  </si>
  <si>
    <t>Variance of Width</t>
    <phoneticPr fontId="1" type="noConversion"/>
  </si>
  <si>
    <t>Distance</t>
    <phoneticPr fontId="1" type="noConversion"/>
  </si>
  <si>
    <t>Difference of Distance</t>
    <phoneticPr fontId="1" type="noConversion"/>
  </si>
  <si>
    <t>zx: 155×90</t>
    <phoneticPr fontId="1" type="noConversion"/>
  </si>
  <si>
    <r>
      <t>SNR</t>
    </r>
    <r>
      <rPr>
        <sz val="9"/>
        <color theme="1"/>
        <rFont val="等线"/>
        <family val="3"/>
        <charset val="134"/>
        <scheme val="minor"/>
      </rPr>
      <t>(dB)</t>
    </r>
    <phoneticPr fontId="1" type="noConversion"/>
  </si>
  <si>
    <t>Average IoU</t>
    <phoneticPr fontId="1" type="noConversion"/>
  </si>
  <si>
    <t>Average Absolute Difference</t>
    <phoneticPr fontId="1" type="noConversion"/>
  </si>
  <si>
    <t>Average Relative Difference</t>
    <phoneticPr fontId="1" type="noConversion"/>
  </si>
  <si>
    <t>Average Variance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</si>
</sst>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000000"/>
      <name val="等线"/>
      <family val="3"/>
      <charset val="134"/>
      <scheme val="minor"/>
    </font>
    <font>
      <sz val="8"/>
      <color theme="1"/>
      <name val="等线"/>
      <family val="3"/>
      <charset val="134"/>
      <scheme val="minor"/>
    </font>
    <font>
      <sz val="6"/>
      <color theme="1"/>
      <name val="等线"/>
      <family val="3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>
      <alignment vertical="center"/>
    </xf>
  </cellStyleXfs>
  <cellXfs count="10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2" borderId="1" xfId="0" applyFill="1" applyBorder="1" applyAlignment="1">
      <alignment horizontal="center"/>
    </xf>
    <xf numFmtId="176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0" fontId="0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/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tabSelected="1" zoomScaleNormal="100" workbookViewId="0">
      <selection activeCell="B22" sqref="B22"/>
    </sheetView>
  </sheetViews>
  <sheetFormatPr defaultRowHeight="14.25" x14ac:dyDescent="0.2"/>
  <cols>
    <col min="1" max="2" width="14.625" customWidth="1"/>
    <col min="3" max="5" width="8.75" customWidth="1"/>
    <col min="6" max="8" width="23.25" customWidth="1"/>
    <col min="9" max="10" width="26.5" customWidth="1"/>
  </cols>
  <sheetData>
    <row r="1" spans="1:10" x14ac:dyDescent="0.2">
      <c r="A1" s="3" t="s">
        <v>2</v>
      </c>
      <c r="B1" s="3" t="s">
        <v>3</v>
      </c>
      <c r="C1" s="3" t="s">
        <v>4</v>
      </c>
      <c r="D1" s="3" t="s">
        <v>5</v>
      </c>
      <c r="E1" s="3" t="s">
        <v>14</v>
      </c>
      <c r="F1" s="3" t="s">
        <v>0</v>
      </c>
      <c r="G1" s="3" t="s">
        <v>1</v>
      </c>
      <c r="H1" s="3" t="s">
        <v>15</v>
      </c>
      <c r="I1" s="3" t="s">
        <v>39</v>
      </c>
      <c r="J1" s="3" t="s">
        <v>40</v>
      </c>
    </row>
    <row r="2" spans="1:10" x14ac:dyDescent="0.2">
      <c r="A2" s="1">
        <v>1</v>
      </c>
      <c r="B2" s="1">
        <v>1300</v>
      </c>
      <c r="C2" s="4">
        <f>(243.16+242.88+243.49+243.55+243.164)/5</f>
        <v>243.24879999999999</v>
      </c>
      <c r="D2" s="4">
        <f>(151.34+152.48+153.03+152.56+152.7)/5</f>
        <v>152.42200000000003</v>
      </c>
      <c r="E2" s="4">
        <f>(1301.88+1302.11+1302.09+1302.2+1302.18)/5</f>
        <v>1302.0920000000001</v>
      </c>
      <c r="F2" s="4">
        <f>(1.85+2.12+1.51+1.45+1.84)/5</f>
        <v>1.7540000000000002</v>
      </c>
      <c r="G2" s="4">
        <f>(3.66+2.52+1.97+2.44+2.3)/5</f>
        <v>2.5780000000000003</v>
      </c>
      <c r="H2" s="4">
        <f>(1.88+2.1+2.1+2.2+2.18)/5</f>
        <v>2.0920000000000001</v>
      </c>
      <c r="I2" s="4">
        <f>(7.39+6.74+5.57+6.09+6.32)/5/3</f>
        <v>2.1406666666666667</v>
      </c>
      <c r="J2" s="6">
        <f>((ABS(C2-245)/245)+(ABS(D2-155)/155)+(ABS(E2-1300)/1300))/3</f>
        <v>8.4630813119292245E-3</v>
      </c>
    </row>
    <row r="3" spans="1:10" x14ac:dyDescent="0.2">
      <c r="A3" s="1">
        <v>2</v>
      </c>
      <c r="B3" s="1">
        <v>1500</v>
      </c>
      <c r="C3" s="4">
        <f>(242.4+242.41+242.54+242.53+242.88)/5</f>
        <v>242.55199999999999</v>
      </c>
      <c r="D3" s="4">
        <f>(152.61+154.87+155.73+153.76+155.67)/5</f>
        <v>154.52799999999999</v>
      </c>
      <c r="E3" s="4">
        <f>(1498.11+1498.42+1498.3+1498.34+1498.15)/5</f>
        <v>1498.2639999999999</v>
      </c>
      <c r="F3" s="4">
        <f>(2.598+2.59+2.46+2.47+2.12)/5</f>
        <v>2.4476</v>
      </c>
      <c r="G3" s="4">
        <f>(2.39+0.13+0.73+1.24+0.67)/5</f>
        <v>1.032</v>
      </c>
      <c r="H3" s="4">
        <f>(1.89+1.57+1.7+1.66+1.85)/5</f>
        <v>1.734</v>
      </c>
      <c r="I3" s="4">
        <f>(6.88+4.3+4.89+5.37+4.64)/5/3</f>
        <v>1.7386666666666668</v>
      </c>
      <c r="J3" s="6">
        <f>((ABS(C3-245)/245)+(ABS(D3-155)/155)+(ABS(E3-1500)/1500))/3</f>
        <v>4.7314437861166484E-3</v>
      </c>
    </row>
    <row r="4" spans="1:10" x14ac:dyDescent="0.2">
      <c r="A4" s="1">
        <v>3</v>
      </c>
      <c r="B4" s="1">
        <v>1700</v>
      </c>
      <c r="C4" s="4">
        <f>(242.28+242.44+242.53+242.39+242.13)/5</f>
        <v>242.35399999999998</v>
      </c>
      <c r="D4" s="4">
        <f>(152.45+152.28+152.33+152.59+152.24)/5</f>
        <v>152.37800000000001</v>
      </c>
      <c r="E4" s="4">
        <f>(1706.52+1706.23+1706.28+1706.27+1706.36)/5</f>
        <v>1706.3319999999999</v>
      </c>
      <c r="F4" s="4">
        <f>(2.72+2.56+2.47+2.61+2.87)/5</f>
        <v>2.6459999999999999</v>
      </c>
      <c r="G4" s="4">
        <f>(2.55+2.72+2.67+2.41+2.76)/5</f>
        <v>2.6219999999999999</v>
      </c>
      <c r="H4" s="4">
        <f>(6.52+6.23+6.28+6.27+6.36)/5</f>
        <v>6.3319999999999999</v>
      </c>
      <c r="I4" s="4">
        <f>(11.79+11.51+11.42+11.29+11.99)/5/3</f>
        <v>3.8666666666666667</v>
      </c>
      <c r="J4" s="6">
        <f>((ABS(C4-245)/245)+(ABS(D4-155)/155)+(ABS(E4-1700)/1700))/3</f>
        <v>1.0480278304870303E-2</v>
      </c>
    </row>
    <row r="5" spans="1:10" x14ac:dyDescent="0.2">
      <c r="A5" s="1">
        <v>4</v>
      </c>
      <c r="B5" s="1">
        <v>1900</v>
      </c>
      <c r="C5" s="4">
        <f>(247.65+247.79+247.42+247.89+247.69)/5</f>
        <v>247.68800000000002</v>
      </c>
      <c r="D5" s="4">
        <f>(153.84+154.02+153.65+153.5+153.54)/5</f>
        <v>153.70999999999998</v>
      </c>
      <c r="E5" s="4">
        <f>(1903.04+1903.06+1902.93+1903+1903.11)/5</f>
        <v>1903.0279999999998</v>
      </c>
      <c r="F5" s="4">
        <f>(2.65+2.79+2.42+2.89+2.69)/5</f>
        <v>2.6879999999999997</v>
      </c>
      <c r="G5" s="4">
        <f>(1.17+0.98+1.35+1.5+1.46)/5</f>
        <v>1.292</v>
      </c>
      <c r="H5" s="4">
        <f>(3.04+3.06+2.93+3+3.11)/5</f>
        <v>3.0279999999999996</v>
      </c>
      <c r="I5" s="4">
        <f>(6.86+6.84+6.7+7.39+7.26)/5/3</f>
        <v>2.3366666666666664</v>
      </c>
      <c r="J5" s="6">
        <f>((ABS(C5-245)/245)+(ABS(D5-155)/155)+(ABS(E5-1900)/1900))/3</f>
        <v>6.9625644757054213E-3</v>
      </c>
    </row>
    <row r="6" spans="1:10" x14ac:dyDescent="0.2">
      <c r="A6" s="1">
        <v>5</v>
      </c>
      <c r="B6" s="1">
        <v>2100</v>
      </c>
      <c r="C6" s="4">
        <f>(243.74+246.45+248.818+246.946+248.85)/5</f>
        <v>246.96080000000001</v>
      </c>
      <c r="D6" s="4">
        <f>(158.48+161.68+160.639+163.349+161.35)/5</f>
        <v>161.09959999999998</v>
      </c>
      <c r="E6" s="4">
        <f>(2100.06+2099.75+2100.06+2100.24+2100.07)/5</f>
        <v>2100.0359999999996</v>
      </c>
      <c r="F6" s="4">
        <f>(1.26+1.45+3.82+1.95+3.85)/5</f>
        <v>2.4659999999999997</v>
      </c>
      <c r="G6" s="4">
        <f>(3.48+6.67+5.64+8.35+6.35)/5</f>
        <v>6.0980000000000008</v>
      </c>
      <c r="H6" s="4">
        <f>(0.056+0.247+0.061+0.243+0.069)/5</f>
        <v>0.13519999999999999</v>
      </c>
      <c r="I6" s="4">
        <f>(4.793+8.366+9.518+10.538+10.267)/5/3</f>
        <v>2.8988</v>
      </c>
      <c r="J6" s="6">
        <f>((ABS(C6-245)/245)+(ABS(D6-155)/155)+(ABS(E6-2100)/2100))/3</f>
        <v>1.5790888742593715E-2</v>
      </c>
    </row>
    <row r="7" spans="1:10" x14ac:dyDescent="0.2">
      <c r="A7" s="1">
        <v>6</v>
      </c>
      <c r="B7" s="1">
        <v>2300</v>
      </c>
      <c r="C7" s="4">
        <f>(249.3+249.96+248.74+249.5+249.29)/5</f>
        <v>249.358</v>
      </c>
      <c r="D7" s="4">
        <f>(155.54+155.72+156.95+152.39+157.11)/5</f>
        <v>155.54199999999997</v>
      </c>
      <c r="E7" s="4">
        <f>(2306.82+2306.96+2306.97+2306.78+2307.02)/5</f>
        <v>2306.9100000000003</v>
      </c>
      <c r="F7" s="4">
        <f>(4.29+4.96+3.74+4.5+4.3)/5</f>
        <v>4.3580000000000005</v>
      </c>
      <c r="G7" s="4">
        <f>(0.54+0.71+1.95+2.61+2.11)/5</f>
        <v>1.5840000000000001</v>
      </c>
      <c r="H7" s="4">
        <f>(6.82+6.96+6.97+6.78+7.02)/5</f>
        <v>6.9099999999999993</v>
      </c>
      <c r="I7" s="4">
        <f>(11.65+12.64+12.67+13.89+13.43)/5/3</f>
        <v>4.285333333333333</v>
      </c>
      <c r="J7" s="6">
        <f>((ABS(C7-245)/245)+(ABS(D7-155)/155)+(ABS(E7-2300)/2300))/3</f>
        <v>8.0962923738920455E-3</v>
      </c>
    </row>
    <row r="8" spans="1:10" x14ac:dyDescent="0.2">
      <c r="A8" s="1">
        <v>7</v>
      </c>
      <c r="B8" s="1">
        <v>2500</v>
      </c>
      <c r="C8" s="4">
        <f>(238.76+238.13+238.51+237.94+238.34)/5</f>
        <v>238.33599999999996</v>
      </c>
      <c r="D8" s="4">
        <f>(153.8+156.33+153.71+156.18+156.28)/5</f>
        <v>155.26</v>
      </c>
      <c r="E8" s="4">
        <f>(2504.17+2503.91+2504.34+2503.68+2503.96)/5</f>
        <v>2504.0120000000002</v>
      </c>
      <c r="F8" s="4">
        <f>(6.24+6.87+6.59+7.05+6.66)/5</f>
        <v>6.6819999999999995</v>
      </c>
      <c r="G8" s="4">
        <f>(1.2+1.33+1.29+1.18+1.28)/5</f>
        <v>1.256</v>
      </c>
      <c r="H8" s="4">
        <f>(4.17+3.91+4.34+3.68+3.96)/5</f>
        <v>4.0120000000000005</v>
      </c>
      <c r="I8" s="4">
        <f>(11.62+12.11+12.12+11.92+11.9)/5/3</f>
        <v>3.9779999999999998</v>
      </c>
      <c r="J8" s="6">
        <f>((ABS(C8-245)/245)+(ABS(D8-155)/155)+(ABS(E8-2500)/2500))/3</f>
        <v>1.0160739784946299E-2</v>
      </c>
    </row>
    <row r="9" spans="1:10" x14ac:dyDescent="0.2">
      <c r="A9" s="1">
        <v>8</v>
      </c>
      <c r="B9" s="1">
        <v>2700</v>
      </c>
      <c r="C9" s="4">
        <f>(244.55+246.35+249.61+245.6+249.81)/5</f>
        <v>247.18400000000003</v>
      </c>
      <c r="D9" s="4">
        <f>(161.546+163.7+163.04+163.2+163.92)/5</f>
        <v>163.08119999999997</v>
      </c>
      <c r="E9" s="4">
        <f>(2697.59+2697.84+2697.58+2698+2697.99)/5</f>
        <v>2697.8</v>
      </c>
      <c r="F9" s="4">
        <f>(0.45+1.34+4.61+0.59+4.81)/5</f>
        <v>2.3600000000000003</v>
      </c>
      <c r="G9" s="4">
        <f>(6.55+8.7+8.04+8.19+8.92)/5</f>
        <v>8.08</v>
      </c>
      <c r="H9" s="4">
        <f>(2.41+2.16+2.42+2+2.01)/5</f>
        <v>2.2000000000000002</v>
      </c>
      <c r="I9" s="4">
        <f>(9.41+12.21+15.07+10.8+15.73)/5/3</f>
        <v>4.214666666666667</v>
      </c>
      <c r="J9" s="6">
        <f>((ABS(C9-245)/245)+(ABS(D9-155)/155)+(ABS(E9-2700)/2700))/3</f>
        <v>2.0621958240882914E-2</v>
      </c>
    </row>
    <row r="10" spans="1:10" x14ac:dyDescent="0.2">
      <c r="I10" s="1"/>
      <c r="J10" s="1"/>
    </row>
    <row r="11" spans="1:10" x14ac:dyDescent="0.2">
      <c r="A11" s="8" t="s">
        <v>27</v>
      </c>
      <c r="B11" s="8"/>
    </row>
    <row r="12" spans="1:10" x14ac:dyDescent="0.2">
      <c r="A12" s="8" t="s">
        <v>16</v>
      </c>
      <c r="B12" s="8"/>
      <c r="C12" s="8"/>
      <c r="D12" s="8"/>
      <c r="E12" s="8"/>
      <c r="F12" s="8"/>
    </row>
    <row r="13" spans="1:10" x14ac:dyDescent="0.2">
      <c r="E13" s="1"/>
      <c r="F13" s="1"/>
    </row>
    <row r="14" spans="1:10" x14ac:dyDescent="0.2">
      <c r="E14" s="1"/>
      <c r="F14" s="1"/>
    </row>
  </sheetData>
  <mergeCells count="2">
    <mergeCell ref="A11:B11"/>
    <mergeCell ref="A12:F12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B7470-B3E3-4E0F-98F5-DCEBB2160E6F}">
  <dimension ref="A1:I11"/>
  <sheetViews>
    <sheetView workbookViewId="0">
      <selection activeCell="H26" sqref="A15:H26"/>
    </sheetView>
  </sheetViews>
  <sheetFormatPr defaultRowHeight="14.25" x14ac:dyDescent="0.2"/>
  <cols>
    <col min="1" max="2" width="13.625" customWidth="1"/>
    <col min="3" max="4" width="10.375" customWidth="1"/>
    <col min="5" max="6" width="17.5" customWidth="1"/>
    <col min="7" max="8" width="17.25" customWidth="1"/>
    <col min="9" max="9" width="19.625" customWidth="1"/>
  </cols>
  <sheetData>
    <row r="1" spans="1:9" x14ac:dyDescent="0.2">
      <c r="A1" s="3" t="s">
        <v>2</v>
      </c>
      <c r="B1" s="3" t="s">
        <v>3</v>
      </c>
      <c r="C1" s="3" t="s">
        <v>4</v>
      </c>
      <c r="D1" s="3" t="s">
        <v>5</v>
      </c>
      <c r="E1" s="3" t="s">
        <v>17</v>
      </c>
      <c r="F1" s="3" t="s">
        <v>18</v>
      </c>
      <c r="G1" s="3" t="s">
        <v>32</v>
      </c>
      <c r="H1" s="3" t="s">
        <v>33</v>
      </c>
      <c r="I1" s="3" t="s">
        <v>41</v>
      </c>
    </row>
    <row r="2" spans="1:9" x14ac:dyDescent="0.2">
      <c r="A2" s="1">
        <v>1</v>
      </c>
      <c r="B2" s="1">
        <v>1300</v>
      </c>
      <c r="C2" s="4">
        <f>(243.73+243.91+243.39+243.14+243.71)/5</f>
        <v>243.57599999999996</v>
      </c>
      <c r="D2" s="4">
        <f>(152.6+152.6+152.11+152.18+152.65)/5</f>
        <v>152.428</v>
      </c>
      <c r="E2" s="4">
        <f>(243.98+244.05+243.69+243.73+243.91+243.39+243.14+243.71+243.33+243.42)/10</f>
        <v>243.63499999999999</v>
      </c>
      <c r="F2" s="4">
        <f>(152.76+152.69+152.35+152.6+152.6+152.11+152.18+152.65+152.38+152.41)/10</f>
        <v>152.47300000000001</v>
      </c>
      <c r="G2" s="4">
        <f>ABS(C2-E2)/4</f>
        <v>1.475000000000648E-2</v>
      </c>
      <c r="H2" s="4">
        <f>ABS(D2-F2)/4</f>
        <v>1.1250000000003979E-2</v>
      </c>
      <c r="I2" s="4">
        <f>0.1298/2</f>
        <v>6.4899999999999999E-2</v>
      </c>
    </row>
    <row r="3" spans="1:9" x14ac:dyDescent="0.2">
      <c r="A3" s="1">
        <v>2</v>
      </c>
      <c r="B3" s="1">
        <v>1500</v>
      </c>
      <c r="C3" s="4">
        <v>242.292</v>
      </c>
      <c r="D3" s="4">
        <v>152.93199999999999</v>
      </c>
      <c r="E3" s="4">
        <v>242.303</v>
      </c>
      <c r="F3" s="4">
        <v>153.142</v>
      </c>
      <c r="G3" s="4">
        <f>SUM(POWER(242.292-E3,2),POWER(242.224-E3,2),POWER(242.308-E3,2),POWER(242.35-E3,2),POWER(242.314-E3,2))/4</f>
        <v>2.1792500000001767E-3</v>
      </c>
      <c r="H3" s="4">
        <f>SUM(POWER(152.932-F3,2),POWER(152.86-F3,2),POWER(152.896-F3,2),POWER(152.998-F3,2),POWER(153.352-F3,2))/4</f>
        <v>6.2244000000000715E-2</v>
      </c>
      <c r="I3" s="4">
        <f>(G3+H3)/2</f>
        <v>3.2211625000000445E-2</v>
      </c>
    </row>
    <row r="4" spans="1:9" x14ac:dyDescent="0.2">
      <c r="A4" s="1">
        <v>3</v>
      </c>
      <c r="B4" s="1">
        <v>1700</v>
      </c>
      <c r="C4" s="4">
        <v>242.35679999999999</v>
      </c>
      <c r="D4" s="4">
        <v>152.55019999999999</v>
      </c>
      <c r="E4" s="4">
        <v>242.387</v>
      </c>
      <c r="F4" s="4">
        <v>152.54179999999999</v>
      </c>
      <c r="G4" s="4">
        <f>SUM(POWER(242.3568-E4,2),POWER(242.335-E4,2),POWER(242.3014-E4,2),POWER(242.3246-E4,2),POWER(242.4172-E4,2))/4</f>
        <v>3.9372999999999136E-3</v>
      </c>
      <c r="H4" s="4">
        <f>SUM(POWER(152.5502-F4,2),POWER(152.5158-F4,2),POWER(152.5748-F4,2),POWER(152.6146-F4,2),POWER(152.5334-F4,2))/4</f>
        <v>1.8014900000000078E-3</v>
      </c>
      <c r="I4" s="4">
        <f t="shared" ref="I4:I9" si="0">(G4+H4)/2</f>
        <v>2.8693949999999608E-3</v>
      </c>
    </row>
    <row r="5" spans="1:9" x14ac:dyDescent="0.2">
      <c r="A5" s="1">
        <v>4</v>
      </c>
      <c r="B5" s="1">
        <v>1900</v>
      </c>
      <c r="C5" s="4">
        <v>247.71799999999999</v>
      </c>
      <c r="D5" s="4">
        <v>153.75800000000001</v>
      </c>
      <c r="E5" s="4">
        <v>247.965</v>
      </c>
      <c r="F5" s="4">
        <v>153.78100000000001</v>
      </c>
      <c r="G5" s="4">
        <f>SUM(POWER(247.718-E5,2),POWER(247.768-E5,2),POWER(247.94-E5,2),POWER(248.1-E5,2),POWER(248.212-E5,2))/4</f>
        <v>4.4919249999999696E-2</v>
      </c>
      <c r="H5" s="4">
        <f>SUM(POWER(153.758-F5,2),POWER(153.738-F5,2),POWER(153.67-F5,2),POWER(153.79-F5,2),POWER(153.804-F5,2))/4</f>
        <v>3.8272500000010078E-3</v>
      </c>
      <c r="I5" s="4">
        <f t="shared" si="0"/>
        <v>2.4373250000000353E-2</v>
      </c>
    </row>
    <row r="6" spans="1:9" x14ac:dyDescent="0.2">
      <c r="A6" s="1">
        <v>5</v>
      </c>
      <c r="B6" s="1">
        <v>2100</v>
      </c>
      <c r="C6" s="4">
        <v>248.81039999999999</v>
      </c>
      <c r="D6" s="4">
        <v>161.29920000000001</v>
      </c>
      <c r="E6" s="4">
        <v>248.47630000000001</v>
      </c>
      <c r="F6" s="4">
        <v>160.73759999999999</v>
      </c>
      <c r="G6" s="4">
        <f>SUM(POWER(248.8104-E6,2),POWER(248.5232-E6,2),POWER(248.5436-E6,2),POWER(248.373-E6,2),POWER(248.1422-E6,2))/4</f>
        <v>6.0161352499997857E-2</v>
      </c>
      <c r="H6" s="4">
        <f>SUM(POWER(161.2992-F6,2),POWER(160.9646-F6,2),POWER(161.0112-F6,2),POWER(160.3328-F6,2),POWER(160.176-F6,2))/4</f>
        <v>0.23025953000000871</v>
      </c>
      <c r="I6" s="4">
        <f t="shared" si="0"/>
        <v>0.14521044125000329</v>
      </c>
    </row>
    <row r="7" spans="1:9" x14ac:dyDescent="0.2">
      <c r="A7" s="1">
        <v>6</v>
      </c>
      <c r="B7" s="1">
        <v>2300</v>
      </c>
      <c r="C7" s="4">
        <v>252.63460000000001</v>
      </c>
      <c r="D7" s="4">
        <v>167.08760000000001</v>
      </c>
      <c r="E7" s="4">
        <v>252.40280000000001</v>
      </c>
      <c r="F7" s="4">
        <v>165.83879999999999</v>
      </c>
      <c r="G7" s="4">
        <f>SUM(POWER(252.6346-E7,2),POWER(251.1386-E7,2),POWER(251.4264-E7,2),POWER(252.063-E7,2),POWER(252.171-E7,2))/4</f>
        <v>0.69362128000002243</v>
      </c>
      <c r="H7" s="4">
        <f>SUM(POWER(167.0876-F7,2),POWER(165.9586-F7,2),POWER(165.94-F7,2),POWER(165.7388-F7,2),POWER(164.59-F7,2))/4</f>
        <v>0.78839909000000341</v>
      </c>
      <c r="I7" s="4">
        <f t="shared" si="0"/>
        <v>0.74101018500001292</v>
      </c>
    </row>
    <row r="8" spans="1:9" x14ac:dyDescent="0.2">
      <c r="A8" s="1">
        <v>7</v>
      </c>
      <c r="B8" s="1">
        <v>2500</v>
      </c>
      <c r="C8" s="4">
        <v>238.75460000000001</v>
      </c>
      <c r="D8" s="4">
        <v>155.3126</v>
      </c>
      <c r="E8" s="4">
        <v>238.6063</v>
      </c>
      <c r="F8" s="4">
        <v>155.06549999999999</v>
      </c>
      <c r="G8" s="4">
        <f>SUM(POWER(238.7546-E8,2),POWER(238.7458-E8,2),POWER(238.8256-E8,2),POWER(238.5618-E8,2),POWER(238.458-E8,2))/4</f>
        <v>2.8379692500001205E-2</v>
      </c>
      <c r="H8" s="4">
        <f>SUM(POWER(155.3126-F8,2),POWER(154.9822-F8,2),POWER(155.208-F8,2),POWER(155.1154-F8,2),POWER(154.8184-F8,2))/4</f>
        <v>3.7962992500001048E-2</v>
      </c>
      <c r="I8" s="4">
        <f t="shared" si="0"/>
        <v>3.317134250000113E-2</v>
      </c>
    </row>
    <row r="9" spans="1:9" x14ac:dyDescent="0.2">
      <c r="A9" s="1">
        <v>8</v>
      </c>
      <c r="B9" s="1">
        <v>2700</v>
      </c>
      <c r="C9" s="4">
        <v>247.6814</v>
      </c>
      <c r="D9" s="4">
        <v>163.92599999999999</v>
      </c>
      <c r="E9" s="4">
        <v>247.9298</v>
      </c>
      <c r="F9" s="4">
        <v>163.64500000000001</v>
      </c>
      <c r="G9" s="4">
        <f>SUM(POWER(247.6814-E9,2),POWER(248.595-E9,2),POWER(247.4936-E9,2),POWER(248.382-E9,2),POWER(248.1782-E9,2))/4</f>
        <v>0.24016286000000453</v>
      </c>
      <c r="H9" s="4">
        <f>SUM(POWER(163.926-F9,2),POWER(163.9058-F9,2),POWER(163.6064-F9,2),POWER(164.2394-F9,2),POWER(163.364-F9,2))/4</f>
        <v>0.14518498999999002</v>
      </c>
      <c r="I9" s="4">
        <f t="shared" si="0"/>
        <v>0.19267392499999728</v>
      </c>
    </row>
    <row r="11" spans="1:9" x14ac:dyDescent="0.2">
      <c r="A11" s="8" t="s">
        <v>26</v>
      </c>
      <c r="B11" s="8"/>
      <c r="C11" s="8"/>
      <c r="D11" s="8"/>
      <c r="E11" s="8"/>
      <c r="F11" s="8"/>
    </row>
  </sheetData>
  <mergeCells count="1">
    <mergeCell ref="A11:F11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8A108-91BA-4FAF-BEEC-73FE9E235FE0}">
  <dimension ref="A1:E14"/>
  <sheetViews>
    <sheetView workbookViewId="0">
      <selection sqref="A1:E11"/>
    </sheetView>
  </sheetViews>
  <sheetFormatPr defaultRowHeight="14.25" x14ac:dyDescent="0.2"/>
  <cols>
    <col min="1" max="2" width="13.625" customWidth="1"/>
    <col min="3" max="5" width="15.375" customWidth="1"/>
  </cols>
  <sheetData>
    <row r="1" spans="1:5" x14ac:dyDescent="0.2">
      <c r="A1" s="3" t="s">
        <v>2</v>
      </c>
      <c r="B1" s="3" t="s">
        <v>3</v>
      </c>
      <c r="C1" s="3" t="s">
        <v>6</v>
      </c>
      <c r="D1" s="3" t="s">
        <v>7</v>
      </c>
      <c r="E1" s="3" t="s">
        <v>8</v>
      </c>
    </row>
    <row r="2" spans="1:5" x14ac:dyDescent="0.2">
      <c r="A2" s="1">
        <v>1</v>
      </c>
      <c r="B2" s="1">
        <v>1300</v>
      </c>
      <c r="C2" s="5">
        <f>(4368+4368+4368+4368+4368)/5</f>
        <v>4368</v>
      </c>
      <c r="D2" s="5">
        <f>(5104+5104+5104+5104+5104)/5</f>
        <v>5104</v>
      </c>
      <c r="E2" s="7">
        <f>(0.856+0.856+0.856+0.856+0.856)/5</f>
        <v>0.85600000000000009</v>
      </c>
    </row>
    <row r="3" spans="1:5" x14ac:dyDescent="0.2">
      <c r="A3" s="1">
        <v>2</v>
      </c>
      <c r="B3" s="1">
        <v>1500</v>
      </c>
      <c r="C3" s="5">
        <f>(3312+3312+3312+3384+3384)/5</f>
        <v>3340.8</v>
      </c>
      <c r="D3" s="5">
        <f>(3800+3800+3876+3800+3800)/5</f>
        <v>3815.2</v>
      </c>
      <c r="E3" s="7">
        <f>(0.872+0.872+0.854+0.891+0.891)/5</f>
        <v>0.876</v>
      </c>
    </row>
    <row r="4" spans="1:5" x14ac:dyDescent="0.2">
      <c r="A4" s="1">
        <v>3</v>
      </c>
      <c r="B4" s="1">
        <v>1700</v>
      </c>
      <c r="C4" s="1">
        <f>(2520+2560+2560+2535+2560)/5</f>
        <v>2547</v>
      </c>
      <c r="D4" s="1">
        <f>(3060+3060+3060+3060+3060)/5</f>
        <v>3060</v>
      </c>
      <c r="E4" s="7">
        <f>(0.823+0.837+0.837+0.828+0.837)/5</f>
        <v>0.83240000000000003</v>
      </c>
    </row>
    <row r="5" spans="1:5" x14ac:dyDescent="0.2">
      <c r="A5" s="1">
        <v>4</v>
      </c>
      <c r="B5" s="1">
        <v>1900</v>
      </c>
      <c r="C5" s="1">
        <f>(2088+2146+2088+2109+2164)/5</f>
        <v>2119</v>
      </c>
      <c r="D5" s="1">
        <f>(2604+2604+2604+2604+2604)/5</f>
        <v>2604</v>
      </c>
      <c r="E5" s="7">
        <f>(0.802+0.824+0.802+0.81+0.824)/5</f>
        <v>0.81240000000000001</v>
      </c>
    </row>
    <row r="6" spans="1:5" x14ac:dyDescent="0.2">
      <c r="A6" s="1">
        <v>5</v>
      </c>
      <c r="B6" s="1">
        <v>2100</v>
      </c>
      <c r="C6" s="5">
        <f>(1581+1581+1530+1600+1581)/5</f>
        <v>1574.6</v>
      </c>
      <c r="D6" s="1">
        <f>(2166+2166+2166+2166+2166)/5</f>
        <v>2166</v>
      </c>
      <c r="E6" s="7">
        <f>(0.73+0.73+0.706+0.739+0.73)/5</f>
        <v>0.72699999999999998</v>
      </c>
    </row>
    <row r="7" spans="1:5" x14ac:dyDescent="0.2">
      <c r="A7" s="1">
        <v>6</v>
      </c>
      <c r="B7" s="1">
        <v>2300</v>
      </c>
      <c r="C7" s="5">
        <f>(1410+1457+1344+1395+1440)/5</f>
        <v>1409.2</v>
      </c>
      <c r="D7" s="5">
        <f>(1768+1768+1716+1768+1716)/5</f>
        <v>1747.2</v>
      </c>
      <c r="E7" s="7">
        <f>(0.798+0.824+0.783+0.789+0.839)/5</f>
        <v>0.80659999999999987</v>
      </c>
    </row>
    <row r="8" spans="1:5" x14ac:dyDescent="0.2">
      <c r="A8" s="1">
        <v>7</v>
      </c>
      <c r="B8" s="1">
        <v>2500</v>
      </c>
      <c r="C8" s="1">
        <f>(1161+1161+1161+1161+1161)/5</f>
        <v>1161</v>
      </c>
      <c r="D8" s="5">
        <f>(1504+1551+1504+1504+1551)/5</f>
        <v>1522.8</v>
      </c>
      <c r="E8" s="7">
        <f>(0.772+0.749+0.772+0.772+0.749)/5</f>
        <v>0.76280000000000014</v>
      </c>
    </row>
    <row r="9" spans="1:5" x14ac:dyDescent="0.2">
      <c r="A9" s="1">
        <v>8</v>
      </c>
      <c r="B9" s="1">
        <v>2700</v>
      </c>
      <c r="C9" s="5">
        <f>(1014+988+100+988+1014)/5</f>
        <v>820.8</v>
      </c>
      <c r="D9" s="5">
        <f>(1276+1305+1305+1350+1350)/5</f>
        <v>1317.2</v>
      </c>
      <c r="E9" s="7">
        <f>(0.75+0.77+0.77+0.76+0.75)/5</f>
        <v>0.76</v>
      </c>
    </row>
    <row r="10" spans="1:5" x14ac:dyDescent="0.2">
      <c r="A10" s="1">
        <v>9</v>
      </c>
      <c r="B10" s="1">
        <v>1300</v>
      </c>
      <c r="C10" s="5">
        <f>(3312+3312+3312+3384+3384)/5</f>
        <v>3340.8</v>
      </c>
      <c r="D10" s="5">
        <f>(3800+3800+3876+3800+3800)/5</f>
        <v>3815.2</v>
      </c>
      <c r="E10" s="7">
        <f>(0.96+0.94+0.96+0.94+0.96+0.94+0.95+0.94+0.96+0.94)/10</f>
        <v>0.94900000000000007</v>
      </c>
    </row>
    <row r="11" spans="1:5" x14ac:dyDescent="0.2">
      <c r="A11" s="1">
        <v>10</v>
      </c>
      <c r="B11" s="1">
        <v>1900</v>
      </c>
      <c r="C11" s="1">
        <f>(2088+2146+2088+2109+2164)/5</f>
        <v>2119</v>
      </c>
      <c r="D11" s="1">
        <f>(2604+2604+2604+2604+2604)/5</f>
        <v>2604</v>
      </c>
      <c r="E11" s="7">
        <f>(0.93+0.92+0.91+0.9+0.91+0.88+0.9+0.92+0.93+0.9)/10</f>
        <v>0.91000000000000014</v>
      </c>
    </row>
    <row r="14" spans="1:5" x14ac:dyDescent="0.2">
      <c r="C14" s="8" t="s">
        <v>13</v>
      </c>
      <c r="D14" s="8"/>
      <c r="E14" s="8"/>
    </row>
  </sheetData>
  <mergeCells count="1">
    <mergeCell ref="C14:E14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674CB-DCD9-4C8B-912F-083AC573A355}">
  <dimension ref="A1:Q10"/>
  <sheetViews>
    <sheetView topLeftCell="G1" workbookViewId="0">
      <selection activeCell="H2" sqref="H2:I10"/>
    </sheetView>
  </sheetViews>
  <sheetFormatPr defaultRowHeight="14.25" x14ac:dyDescent="0.2"/>
  <cols>
    <col min="3" max="3" width="13.625" customWidth="1"/>
    <col min="6" max="7" width="19.75" customWidth="1"/>
    <col min="8" max="9" width="27.5" customWidth="1"/>
  </cols>
  <sheetData>
    <row r="1" spans="1:17" x14ac:dyDescent="0.2">
      <c r="A1" s="3" t="s">
        <v>2</v>
      </c>
      <c r="B1" s="3" t="s">
        <v>3</v>
      </c>
      <c r="C1" s="3" t="s">
        <v>9</v>
      </c>
      <c r="D1" s="3" t="s">
        <v>4</v>
      </c>
      <c r="E1" s="3" t="s">
        <v>5</v>
      </c>
      <c r="F1" s="3" t="s">
        <v>0</v>
      </c>
      <c r="G1" s="3" t="s">
        <v>1</v>
      </c>
      <c r="H1" s="3" t="s">
        <v>21</v>
      </c>
      <c r="I1" s="3" t="s">
        <v>22</v>
      </c>
    </row>
    <row r="2" spans="1:17" x14ac:dyDescent="0.2">
      <c r="A2" s="1">
        <v>1</v>
      </c>
      <c r="B2" s="1">
        <v>1300</v>
      </c>
      <c r="C2" s="1" t="s">
        <v>28</v>
      </c>
      <c r="D2" s="4">
        <f>(243.16+242.88+243.49+243.55+243.164)/5</f>
        <v>243.24879999999999</v>
      </c>
      <c r="E2" s="4">
        <f>(151.34+152.48+153.03+152.56+152.7)/5</f>
        <v>152.42200000000003</v>
      </c>
      <c r="F2" s="4">
        <f>(1.85+2.12+1.51+1.45+1.84)/5</f>
        <v>1.7540000000000002</v>
      </c>
      <c r="G2" s="4">
        <f>(3.66+2.52+1.97+2.44+2.3)/5</f>
        <v>2.5780000000000003</v>
      </c>
      <c r="H2" s="4">
        <f>(F2+G2)/2</f>
        <v>2.1660000000000004</v>
      </c>
      <c r="I2" s="6">
        <f>((ABS(D2-245)/245)+(ABS(E2-155)/155))/2</f>
        <v>1.1890006583278415E-2</v>
      </c>
    </row>
    <row r="3" spans="1:17" x14ac:dyDescent="0.2">
      <c r="A3" s="1">
        <v>2</v>
      </c>
      <c r="B3" s="1">
        <v>1300</v>
      </c>
      <c r="C3" s="1" t="s">
        <v>29</v>
      </c>
      <c r="D3" s="4">
        <f>AVERAGE(238.85,238.92,238.83,238.95,239.1)</f>
        <v>238.92999999999998</v>
      </c>
      <c r="E3" s="4">
        <f>AVERAGE(84.39,84.3,84.39,84.42,84.17)</f>
        <v>84.334000000000003</v>
      </c>
      <c r="F3" s="4">
        <f>AVERAGE(6.15,6.08,6.18,6.05,5.9)</f>
        <v>6.0720000000000001</v>
      </c>
      <c r="G3" s="4">
        <f>AVERAGE(5.61,5.7,5.61,5.58,5.83)</f>
        <v>5.6659999999999995</v>
      </c>
      <c r="H3" s="4">
        <f>(F3+G3)/2</f>
        <v>5.8689999999999998</v>
      </c>
      <c r="I3" s="6">
        <f>((ABS(D3-245)/245)+(ABS(E3-90)/90))/2</f>
        <v>4.3865532879818619E-2</v>
      </c>
    </row>
    <row r="4" spans="1:17" x14ac:dyDescent="0.2">
      <c r="A4" s="1">
        <v>3</v>
      </c>
      <c r="B4" s="1">
        <v>1300</v>
      </c>
      <c r="C4" s="1" t="s">
        <v>36</v>
      </c>
      <c r="D4" s="4">
        <f>AVERAGE(151.058,151.046,151.17,151.16,151.04)</f>
        <v>151.09479999999999</v>
      </c>
      <c r="E4" s="4">
        <f>AVERAGE(81.93,81.79,81.3,81.5,81.04)</f>
        <v>81.512000000000015</v>
      </c>
      <c r="F4" s="4">
        <f>AVERAGE(3.94,3.95,3.83,3.84,3.96)</f>
        <v>3.9039999999999999</v>
      </c>
      <c r="G4" s="4">
        <f>AVERAGE(8.07,8.21,8.7,8.5,8.96)</f>
        <v>8.4880000000000013</v>
      </c>
      <c r="H4" s="4">
        <f t="shared" ref="H4:H10" si="0">(F4+G4)/2</f>
        <v>6.1960000000000006</v>
      </c>
      <c r="I4" s="6">
        <f>((ABS(D4-155)/155)+(ABS(E4-90)/90))/2</f>
        <v>5.9752974910394205E-2</v>
      </c>
      <c r="K4" t="s">
        <v>27</v>
      </c>
      <c r="N4" s="8" t="s">
        <v>28</v>
      </c>
      <c r="O4" s="8"/>
      <c r="P4" s="1" t="s">
        <v>29</v>
      </c>
      <c r="Q4" s="1" t="s">
        <v>30</v>
      </c>
    </row>
    <row r="5" spans="1:17" x14ac:dyDescent="0.2">
      <c r="A5" s="1">
        <v>4</v>
      </c>
      <c r="B5" s="1">
        <v>1500</v>
      </c>
      <c r="C5" s="1" t="s">
        <v>28</v>
      </c>
      <c r="D5" s="4">
        <f>(242.4+242.41+242.54+242.53+242.88)/5</f>
        <v>242.55199999999999</v>
      </c>
      <c r="E5" s="4">
        <f>(152.61+154.87+155.73+153.76+155.67)/5</f>
        <v>154.52799999999999</v>
      </c>
      <c r="F5" s="4">
        <f>(2.598+2.59+2.46+2.47+2.12)/5</f>
        <v>2.4476</v>
      </c>
      <c r="G5" s="4">
        <f>(2.39+0.13+0.73+1.24+0.67)/5</f>
        <v>1.032</v>
      </c>
      <c r="H5" s="4">
        <f t="shared" si="0"/>
        <v>1.7398</v>
      </c>
      <c r="I5" s="6">
        <f t="shared" ref="I5" si="1">((ABS(D5-245)/245)+(ABS(E5-155)/155))/2</f>
        <v>6.5184990125082718E-3</v>
      </c>
      <c r="K5" s="8" t="s">
        <v>16</v>
      </c>
      <c r="L5" s="8"/>
      <c r="M5" s="8"/>
      <c r="N5" s="8"/>
      <c r="O5" s="8"/>
      <c r="P5" s="8"/>
      <c r="Q5" s="8"/>
    </row>
    <row r="6" spans="1:17" x14ac:dyDescent="0.2">
      <c r="A6" s="1">
        <v>5</v>
      </c>
      <c r="B6" s="1">
        <v>1500</v>
      </c>
      <c r="C6" s="1" t="s">
        <v>29</v>
      </c>
      <c r="D6" s="4">
        <f>AVERAGE(242.291,242.658,241,242.314,241.1)</f>
        <v>241.87259999999998</v>
      </c>
      <c r="E6" s="4">
        <f>AVERAGE(88.78,88.64,87.94,88.86,88.45)</f>
        <v>88.534000000000006</v>
      </c>
      <c r="F6" s="4">
        <f>AVERAGE(2.71,2.34,3.99,2.69,3.91)</f>
        <v>3.1279999999999997</v>
      </c>
      <c r="G6" s="4">
        <f>AVERAGE(1.22,1.36,2.06,1.14,1.55)</f>
        <v>1.466</v>
      </c>
      <c r="H6" s="4">
        <f t="shared" si="0"/>
        <v>2.2969999999999997</v>
      </c>
      <c r="I6" s="6">
        <f t="shared" ref="I6" si="2">((ABS(D6-245)/245)+(ABS(E6-90)/90))/2</f>
        <v>1.4526893424036295E-2</v>
      </c>
    </row>
    <row r="7" spans="1:17" x14ac:dyDescent="0.2">
      <c r="A7" s="1">
        <v>6</v>
      </c>
      <c r="B7" s="1">
        <v>1500</v>
      </c>
      <c r="C7" s="1" t="s">
        <v>36</v>
      </c>
      <c r="D7" s="4">
        <f>AVERAGE(145.627,145.04,145.12,145,145.32)</f>
        <v>145.22139999999999</v>
      </c>
      <c r="E7" s="4">
        <f>AVERAGE(88.36,88.35,87.92,88.15,86.51)</f>
        <v>87.85799999999999</v>
      </c>
      <c r="F7" s="4">
        <f>AVERAGE(9.37,9.95,9.88,9.99,9.68)</f>
        <v>9.7740000000000009</v>
      </c>
      <c r="G7" s="4">
        <f>AVERAGE(1.64,1.65,2.08,1.84,3.49)</f>
        <v>2.1399999999999997</v>
      </c>
      <c r="H7" s="4">
        <f t="shared" si="0"/>
        <v>5.9570000000000007</v>
      </c>
      <c r="I7" s="6">
        <f t="shared" ref="I7" si="3">((ABS(D7-155)/155)+(ABS(E7-90)/90))/2</f>
        <v>4.3443870967742028E-2</v>
      </c>
    </row>
    <row r="8" spans="1:17" x14ac:dyDescent="0.2">
      <c r="A8" s="1">
        <v>7</v>
      </c>
      <c r="B8" s="1">
        <v>1750</v>
      </c>
      <c r="C8" s="1" t="s">
        <v>28</v>
      </c>
      <c r="D8" s="4">
        <f>(242.28+242.44+242.53+242.39+242.13)/5</f>
        <v>242.35399999999998</v>
      </c>
      <c r="E8" s="4">
        <f>(152.45+152.28+152.33+152.59+152.24)/5</f>
        <v>152.37800000000001</v>
      </c>
      <c r="F8" s="4">
        <f>(2.72+2.56+2.47+2.61+2.87)/5</f>
        <v>2.6459999999999999</v>
      </c>
      <c r="G8" s="4">
        <f>(2.55+2.72+2.67+2.41+2.76)/5</f>
        <v>2.6219999999999999</v>
      </c>
      <c r="H8" s="4">
        <f t="shared" si="0"/>
        <v>2.6339999999999999</v>
      </c>
      <c r="I8" s="6">
        <f t="shared" ref="I8" si="4">((ABS(D8-245)/245)+(ABS(E8-155)/155))/2</f>
        <v>1.3858064516129018E-2</v>
      </c>
    </row>
    <row r="9" spans="1:17" x14ac:dyDescent="0.2">
      <c r="A9" s="1">
        <v>8</v>
      </c>
      <c r="B9" s="1">
        <v>1750</v>
      </c>
      <c r="C9" s="1" t="s">
        <v>29</v>
      </c>
      <c r="D9" s="4">
        <f>AVERAGE(243.125,242.979,243.24,242.89,242.85)</f>
        <v>243.01680000000002</v>
      </c>
      <c r="E9" s="4">
        <f>AVERAGE(90.04,90.1,90.35,89.81,90.1)</f>
        <v>90.08</v>
      </c>
      <c r="F9" s="4">
        <f>AVERAGE(1.88,2.02,1.76,2.11,2.16)</f>
        <v>1.986</v>
      </c>
      <c r="G9" s="4">
        <f>AVERAGE(0.04,0.09,0.35,0.19,0.1)</f>
        <v>0.15399999999999997</v>
      </c>
      <c r="H9" s="4">
        <f t="shared" si="0"/>
        <v>1.07</v>
      </c>
      <c r="I9" s="6">
        <f t="shared" ref="I9" si="5">((ABS(D9-245)/245)+(ABS(E9-90)/90))/2</f>
        <v>4.4917913832199091E-3</v>
      </c>
    </row>
    <row r="10" spans="1:17" x14ac:dyDescent="0.2">
      <c r="A10" s="1">
        <v>9</v>
      </c>
      <c r="B10" s="1">
        <v>1750</v>
      </c>
      <c r="C10" s="1" t="s">
        <v>36</v>
      </c>
      <c r="D10" s="4">
        <f>AVERAGE(144.548,143.9,143.624,144.26,143.68)</f>
        <v>144.00239999999999</v>
      </c>
      <c r="E10" s="4">
        <f>AVERAGE(81.09,80.57,80.58,80.76,80.82)</f>
        <v>80.763999999999996</v>
      </c>
      <c r="F10" s="4">
        <f>AVERAGE(10.45,11.1,11.38,10.74,11.32)</f>
        <v>10.998000000000001</v>
      </c>
      <c r="G10" s="4">
        <f>AVERAGE(8.91,9.43,9.42,9.24,9.18)</f>
        <v>9.2360000000000007</v>
      </c>
      <c r="H10" s="4">
        <f t="shared" si="0"/>
        <v>10.117000000000001</v>
      </c>
      <c r="I10" s="6">
        <f t="shared" ref="I10" si="6">((ABS(D10-155)/155)+(ABS(E10-90)/90))/2</f>
        <v>8.6787240143369221E-2</v>
      </c>
    </row>
  </sheetData>
  <autoFilter ref="A1:I10" xr:uid="{A0B674CB-DCD9-4C8B-912F-083AC573A355}"/>
  <mergeCells count="2">
    <mergeCell ref="K5:Q5"/>
    <mergeCell ref="N4:O4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5E33A-53D8-4B16-8E9D-323233AD01C6}">
  <dimension ref="A1:K27"/>
  <sheetViews>
    <sheetView workbookViewId="0">
      <selection activeCell="B13" sqref="B13:G13"/>
    </sheetView>
  </sheetViews>
  <sheetFormatPr defaultRowHeight="14.25" x14ac:dyDescent="0.2"/>
  <cols>
    <col min="1" max="4" width="13.75" customWidth="1"/>
    <col min="5" max="6" width="15.875" customWidth="1"/>
    <col min="7" max="9" width="18" customWidth="1"/>
    <col min="10" max="11" width="27.75" customWidth="1"/>
  </cols>
  <sheetData>
    <row r="1" spans="1:11" x14ac:dyDescent="0.2">
      <c r="A1" s="3" t="s">
        <v>2</v>
      </c>
      <c r="B1" s="3" t="s">
        <v>3</v>
      </c>
      <c r="C1" s="3" t="s">
        <v>12</v>
      </c>
      <c r="D1" s="3" t="s">
        <v>9</v>
      </c>
      <c r="E1" s="3" t="s">
        <v>19</v>
      </c>
      <c r="F1" s="3" t="s">
        <v>20</v>
      </c>
      <c r="G1" s="3" t="s">
        <v>0</v>
      </c>
      <c r="H1" s="3" t="s">
        <v>1</v>
      </c>
      <c r="I1" s="3" t="s">
        <v>38</v>
      </c>
      <c r="J1" s="3" t="s">
        <v>39</v>
      </c>
      <c r="K1" s="3" t="s">
        <v>40</v>
      </c>
    </row>
    <row r="2" spans="1:11" ht="15" customHeight="1" x14ac:dyDescent="0.2">
      <c r="A2" s="1">
        <v>1</v>
      </c>
      <c r="B2" s="2">
        <v>1300</v>
      </c>
      <c r="C2" s="1">
        <v>15</v>
      </c>
      <c r="D2" s="1" t="s">
        <v>28</v>
      </c>
      <c r="E2" s="4">
        <f>AVERAGE(238, 237.5, 236, 237,236,237,236,238,236.5,237.5)</f>
        <v>236.95</v>
      </c>
      <c r="F2" s="4">
        <f>AVERAGE(147, 147.5, 147.5, 147,145.5,146,146,146,147,149.5)</f>
        <v>146.9</v>
      </c>
      <c r="G2" s="4">
        <f t="shared" ref="G2:G11" si="0">ABS(245-E2)</f>
        <v>8.0500000000000114</v>
      </c>
      <c r="H2" s="4">
        <f>ABS(155-F2)</f>
        <v>8.0999999999999943</v>
      </c>
      <c r="I2" s="1">
        <f>AVERAGE(0.93, 0.95,0.93,0.95,0.93,0.95,0.93,0.95,0.93,0.95)</f>
        <v>0.93999999999999984</v>
      </c>
      <c r="J2" s="7">
        <f>(G2+H2)/2</f>
        <v>8.0750000000000028</v>
      </c>
      <c r="K2" s="6">
        <f>((ABS(E2-245)/245)+(ABS(F2-155)/155))/2</f>
        <v>4.2557603686635949E-2</v>
      </c>
    </row>
    <row r="3" spans="1:11" x14ac:dyDescent="0.2">
      <c r="A3" s="1">
        <v>2</v>
      </c>
      <c r="B3" s="2">
        <v>1300</v>
      </c>
      <c r="C3" s="1">
        <v>15</v>
      </c>
      <c r="D3" s="1" t="s">
        <v>29</v>
      </c>
      <c r="E3" s="4">
        <f>AVERAGE(234.5, 233.5,233,233,234.5,230,235,237.5,237.5,233.5)</f>
        <v>234.2</v>
      </c>
      <c r="F3" s="4">
        <f>AVERAGE(79.5,81,80.5,78,79.5,80.5,81,80,80,79)</f>
        <v>79.900000000000006</v>
      </c>
      <c r="G3" s="4">
        <f t="shared" si="0"/>
        <v>10.800000000000011</v>
      </c>
      <c r="H3" s="4">
        <f>ABS(90-F3)</f>
        <v>10.099999999999994</v>
      </c>
      <c r="I3" s="7">
        <f>AVERAGE(0.94,0.93,0.93,0.9,0.93,0.93,0.93,0.93,0.93,0.91)</f>
        <v>0.92599999999999993</v>
      </c>
      <c r="J3" s="7">
        <f>(G3+H3)/2</f>
        <v>10.450000000000003</v>
      </c>
      <c r="K3" s="6">
        <f>((ABS(E3-245)/245)+(ABS(F3-90)/90))/2</f>
        <v>7.8151927437641711E-2</v>
      </c>
    </row>
    <row r="4" spans="1:11" x14ac:dyDescent="0.2">
      <c r="A4" s="1">
        <v>3</v>
      </c>
      <c r="B4" s="2">
        <v>1300</v>
      </c>
      <c r="C4" s="1">
        <v>20</v>
      </c>
      <c r="D4" s="1" t="s">
        <v>28</v>
      </c>
      <c r="E4" s="4">
        <f>AVERAGE(237.5,235.5,237,236,236.5,235.5,236.5,234.5,238,237.5)</f>
        <v>236.45</v>
      </c>
      <c r="F4" s="4">
        <f>AVERAGE(146,142,146.5,141.5,147.5,142,145,140.5,146.5,142.5)</f>
        <v>144</v>
      </c>
      <c r="G4" s="4">
        <f t="shared" si="0"/>
        <v>8.5500000000000114</v>
      </c>
      <c r="H4" s="4">
        <f>ABS(155-F4)</f>
        <v>11</v>
      </c>
      <c r="I4" s="1">
        <f>AVERAGE(0.91,0.89,0.93,0.9,0.93,0.9,0.92,0.89,0.93,0.9)</f>
        <v>0.90999999999999992</v>
      </c>
      <c r="J4" s="7">
        <f t="shared" ref="J4:J11" si="1">(G4+H4)/2</f>
        <v>9.7750000000000057</v>
      </c>
      <c r="K4" s="6">
        <f t="shared" ref="K4" si="2">((ABS(E4-245)/245)+(ABS(F4-155)/155))/2</f>
        <v>5.2932850559578692E-2</v>
      </c>
    </row>
    <row r="5" spans="1:11" x14ac:dyDescent="0.2">
      <c r="A5" s="1">
        <v>4</v>
      </c>
      <c r="B5" s="2">
        <v>1300</v>
      </c>
      <c r="C5" s="1">
        <v>20</v>
      </c>
      <c r="D5" s="1" t="s">
        <v>29</v>
      </c>
      <c r="E5" s="4">
        <f>AVERAGE(234.5,230,232.5,234,233,234,237,235.5,232.5,233)</f>
        <v>233.6</v>
      </c>
      <c r="F5" s="4">
        <f>AVERAGE(79.5,78,81,79,81,78,81,80,81,82)</f>
        <v>80.05</v>
      </c>
      <c r="G5" s="4">
        <f t="shared" si="0"/>
        <v>11.400000000000006</v>
      </c>
      <c r="H5" s="4">
        <f>ABS(90-F5)</f>
        <v>9.9500000000000028</v>
      </c>
      <c r="I5" s="7">
        <f>AVERAGE(0.93,0.91,0.93,0.91,0.93,0.92,0.93,0.93,0.93,0.9)</f>
        <v>0.92200000000000004</v>
      </c>
      <c r="J5" s="7">
        <f t="shared" si="1"/>
        <v>10.675000000000004</v>
      </c>
      <c r="K5" s="6">
        <f>((ABS(E5-245)/245)+(ABS(F5-90)/90))/2</f>
        <v>7.8543083900226782E-2</v>
      </c>
    </row>
    <row r="6" spans="1:11" x14ac:dyDescent="0.2">
      <c r="A6" s="1">
        <v>5</v>
      </c>
      <c r="B6" s="1">
        <v>1300</v>
      </c>
      <c r="C6" s="1">
        <v>25</v>
      </c>
      <c r="D6" s="1" t="s">
        <v>28</v>
      </c>
      <c r="E6" s="4">
        <f>AVERAGE(236.5, 235,234.5,237,234.5,237,234.5,237.5,234.5,237.5)</f>
        <v>235.85</v>
      </c>
      <c r="F6" s="4">
        <f>AVERAGE(143.5,145.5,144,146.5,144,146.5,144,145.5,144,145.5)</f>
        <v>144.9</v>
      </c>
      <c r="G6" s="4">
        <f t="shared" si="0"/>
        <v>9.1500000000000057</v>
      </c>
      <c r="H6" s="4">
        <f>ABS(155-F6)</f>
        <v>10.099999999999994</v>
      </c>
      <c r="I6" s="7">
        <f>AVERAGE(0.94,0.93,0.94,0.93,0.94,0.93,0.94,0.93,0.94,0.93)</f>
        <v>0.93499999999999983</v>
      </c>
      <c r="J6" s="7">
        <f t="shared" si="1"/>
        <v>9.625</v>
      </c>
      <c r="K6" s="6">
        <f t="shared" ref="K6" si="3">((ABS(E6-245)/245)+(ABS(F6-155)/155))/2</f>
        <v>5.1254114549045424E-2</v>
      </c>
    </row>
    <row r="7" spans="1:11" ht="15.75" customHeight="1" x14ac:dyDescent="0.2">
      <c r="A7" s="1">
        <v>6</v>
      </c>
      <c r="B7" s="1">
        <v>1300</v>
      </c>
      <c r="C7" s="1">
        <v>25</v>
      </c>
      <c r="D7" s="1" t="s">
        <v>29</v>
      </c>
      <c r="E7" s="4">
        <f>AVERAGE(233,236,233,234,235,233,232,232,237,231)</f>
        <v>233.6</v>
      </c>
      <c r="F7" s="4">
        <f>AVERAGE(81,80,81,82,79,82,81,79,78,79)</f>
        <v>80.2</v>
      </c>
      <c r="G7" s="4">
        <f t="shared" si="0"/>
        <v>11.400000000000006</v>
      </c>
      <c r="H7" s="4">
        <f>ABS(90-F7)</f>
        <v>9.7999999999999972</v>
      </c>
      <c r="I7" s="7">
        <f>AVERAGE(0.93,0.94,0.93,0.93,0.92,0.95,0.92,0.92,0.91,0.92)</f>
        <v>0.92699999999999994</v>
      </c>
      <c r="J7" s="7">
        <f t="shared" si="1"/>
        <v>10.600000000000001</v>
      </c>
      <c r="K7" s="6">
        <f t="shared" ref="K7" si="4">((ABS(E7-245)/245)+(ABS(F7-90)/90))/2</f>
        <v>7.7709750566893415E-2</v>
      </c>
    </row>
    <row r="8" spans="1:11" x14ac:dyDescent="0.2">
      <c r="A8" s="1">
        <v>7</v>
      </c>
      <c r="B8" s="2">
        <v>1800</v>
      </c>
      <c r="C8" s="1">
        <v>20</v>
      </c>
      <c r="D8" s="1" t="s">
        <v>28</v>
      </c>
      <c r="E8" s="4">
        <f>AVERAGE(235,237,238,237,235,235,235,235,235,237)</f>
        <v>235.9</v>
      </c>
      <c r="F8" s="4">
        <f>AVERAGE(146,142,145,144,147,144,147,145,146,142)</f>
        <v>144.80000000000001</v>
      </c>
      <c r="G8" s="4">
        <f t="shared" si="0"/>
        <v>9.0999999999999943</v>
      </c>
      <c r="H8" s="4">
        <f>ABS(155-F8)</f>
        <v>10.199999999999989</v>
      </c>
      <c r="I8" s="7">
        <f>AVERAGE(0.88,0.92,0.88,0.92,0.88,0.93,0.88,0.93,0.87,0.9)</f>
        <v>0.89900000000000002</v>
      </c>
      <c r="J8" s="7">
        <f t="shared" si="1"/>
        <v>9.6499999999999915</v>
      </c>
      <c r="K8" s="6">
        <f t="shared" ref="K8" si="5">((ABS(E8-245)/245)+(ABS(F8-155)/155))/2</f>
        <v>5.1474654377880132E-2</v>
      </c>
    </row>
    <row r="9" spans="1:11" x14ac:dyDescent="0.2">
      <c r="A9" s="1">
        <v>8</v>
      </c>
      <c r="B9" s="2">
        <v>1800</v>
      </c>
      <c r="C9" s="1">
        <v>20</v>
      </c>
      <c r="D9" s="1" t="s">
        <v>29</v>
      </c>
      <c r="E9" s="4">
        <f>AVERAGE(233,231,232,229,231,230,231,231,232,230)</f>
        <v>231</v>
      </c>
      <c r="F9" s="4">
        <f>AVERAGE(77,78,78,79,78,81,78,81,77,78)</f>
        <v>78.5</v>
      </c>
      <c r="G9" s="4">
        <f t="shared" si="0"/>
        <v>14</v>
      </c>
      <c r="H9" s="4">
        <f>ABS(90-F9)</f>
        <v>11.5</v>
      </c>
      <c r="I9" s="7">
        <f>AVERAGE(0.93,0.94,0.93,0.93,0.92,0.95,0.92,0.92,0.91,0.92)</f>
        <v>0.92699999999999994</v>
      </c>
      <c r="J9" s="7">
        <f t="shared" si="1"/>
        <v>12.75</v>
      </c>
      <c r="K9" s="6">
        <f t="shared" ref="K9" si="6">((ABS(E9-245)/245)+(ABS(F9-90)/90))/2</f>
        <v>9.2460317460317451E-2</v>
      </c>
    </row>
    <row r="10" spans="1:11" x14ac:dyDescent="0.2">
      <c r="A10" s="1">
        <v>9</v>
      </c>
      <c r="B10" s="1">
        <v>1800</v>
      </c>
      <c r="C10" s="1">
        <v>25</v>
      </c>
      <c r="D10" s="1" t="s">
        <v>28</v>
      </c>
      <c r="E10" s="4">
        <f>AVERAGE(235,236,237,236,235,234,236,235,235,233)</f>
        <v>235.2</v>
      </c>
      <c r="F10" s="4">
        <f>AVERAGE(146,142,143,144,142,141,144,141,146,142)</f>
        <v>143.1</v>
      </c>
      <c r="G10" s="4">
        <f t="shared" si="0"/>
        <v>9.8000000000000114</v>
      </c>
      <c r="H10" s="4">
        <f>ABS(155-F10)</f>
        <v>11.900000000000006</v>
      </c>
      <c r="I10" s="7">
        <f>AVERAGE(0.94,0.94,0.93,0.92,0.92,0.93,0.93,0.93,0.94,0.93)</f>
        <v>0.93099999999999983</v>
      </c>
      <c r="J10" s="7">
        <f t="shared" si="1"/>
        <v>10.850000000000009</v>
      </c>
      <c r="K10" s="6">
        <f t="shared" ref="K10" si="7">((ABS(E10-245)/245)+(ABS(F10-155)/155))/2</f>
        <v>5.8387096774193591E-2</v>
      </c>
    </row>
    <row r="11" spans="1:11" x14ac:dyDescent="0.2">
      <c r="A11" s="1">
        <v>10</v>
      </c>
      <c r="B11" s="1">
        <v>1800</v>
      </c>
      <c r="C11" s="1">
        <v>25</v>
      </c>
      <c r="D11" s="1" t="s">
        <v>29</v>
      </c>
      <c r="E11" s="4">
        <f>AVERAGE(231,230,231,230,232,232,231,235,234,230)</f>
        <v>231.6</v>
      </c>
      <c r="F11" s="4">
        <f>AVERAGE(79,76,78,79,78,78,78,79,77,79)</f>
        <v>78.099999999999994</v>
      </c>
      <c r="G11" s="4">
        <f t="shared" si="0"/>
        <v>13.400000000000006</v>
      </c>
      <c r="H11" s="4">
        <f>ABS(90-F11)</f>
        <v>11.900000000000006</v>
      </c>
      <c r="I11" s="7">
        <f>AVERAGE(0.89,0.89,0.88,0.9,0.89,0.9,0.88,0.9,0.88,0.9)</f>
        <v>0.89100000000000024</v>
      </c>
      <c r="J11" s="7">
        <f t="shared" si="1"/>
        <v>12.650000000000006</v>
      </c>
      <c r="K11" s="6">
        <f>((ABS(E11-245)/245)+(ABS(F11-90)/90))/2</f>
        <v>9.3458049886621361E-2</v>
      </c>
    </row>
    <row r="13" spans="1:11" x14ac:dyDescent="0.2">
      <c r="B13" s="9"/>
      <c r="C13" s="9"/>
      <c r="D13" s="9"/>
      <c r="E13" s="9"/>
      <c r="F13" s="9"/>
      <c r="G13" s="9"/>
    </row>
    <row r="19" spans="3:3" x14ac:dyDescent="0.2">
      <c r="C19" s="1"/>
    </row>
    <row r="20" spans="3:3" x14ac:dyDescent="0.2">
      <c r="C20" s="1"/>
    </row>
    <row r="21" spans="3:3" x14ac:dyDescent="0.2">
      <c r="C21" s="1"/>
    </row>
    <row r="22" spans="3:3" x14ac:dyDescent="0.2">
      <c r="C22" s="1"/>
    </row>
    <row r="23" spans="3:3" x14ac:dyDescent="0.2">
      <c r="C23" s="1"/>
    </row>
    <row r="24" spans="3:3" x14ac:dyDescent="0.2">
      <c r="C24" s="1"/>
    </row>
    <row r="25" spans="3:3" x14ac:dyDescent="0.2">
      <c r="C25" s="1"/>
    </row>
    <row r="26" spans="3:3" x14ac:dyDescent="0.2">
      <c r="C26" s="1"/>
    </row>
    <row r="27" spans="3:3" x14ac:dyDescent="0.2">
      <c r="C27" s="1"/>
    </row>
  </sheetData>
  <autoFilter ref="A1:K11" xr:uid="{B6B5E33A-53D8-4B16-8E9D-323233AD01C6}"/>
  <sortState xmlns:xlrd2="http://schemas.microsoft.com/office/spreadsheetml/2017/richdata2" ref="A2:H11">
    <sortCondition ref="B1:B11"/>
  </sortState>
  <phoneticPr fontId="1" type="noConversion"/>
  <pageMargins left="0.7" right="0.7" top="0.75" bottom="0.75" header="0.3" footer="0.3"/>
  <pageSetup paperSize="9" orientation="portrait" r:id="rId1"/>
  <ignoredErrors>
    <ignoredError sqref="H3 H4:I4 H5:H7 H8:I8 H9:H10 K3:K10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305DC-6F18-4DB2-9205-297A5FF0E2C5}">
  <dimension ref="A1:G17"/>
  <sheetViews>
    <sheetView workbookViewId="0">
      <selection activeCell="B22" sqref="B22"/>
    </sheetView>
  </sheetViews>
  <sheetFormatPr defaultRowHeight="14.25" x14ac:dyDescent="0.2"/>
  <cols>
    <col min="1" max="2" width="14.625" style="1" customWidth="1"/>
    <col min="3" max="3" width="21" style="1" customWidth="1"/>
    <col min="4" max="4" width="10.25" customWidth="1"/>
  </cols>
  <sheetData>
    <row r="1" spans="1:7" x14ac:dyDescent="0.2">
      <c r="A1" s="3" t="s">
        <v>2</v>
      </c>
      <c r="B1" s="3" t="s">
        <v>10</v>
      </c>
      <c r="C1" s="3" t="s">
        <v>23</v>
      </c>
      <c r="D1" s="3" t="s">
        <v>37</v>
      </c>
    </row>
    <row r="2" spans="1:7" x14ac:dyDescent="0.2">
      <c r="A2" s="1">
        <v>1</v>
      </c>
      <c r="B2" s="1">
        <v>1</v>
      </c>
      <c r="C2" s="1" t="s">
        <v>24</v>
      </c>
      <c r="D2" s="4">
        <f>AVERAGE(31.5489,31.51,31.494,31.4261,31.4448,31.4387,31.4367,31.4501,31.5531,31.6008)</f>
        <v>31.490320000000004</v>
      </c>
      <c r="G2" s="1"/>
    </row>
    <row r="3" spans="1:7" x14ac:dyDescent="0.2">
      <c r="A3" s="1">
        <v>2</v>
      </c>
      <c r="B3" s="1">
        <v>1</v>
      </c>
      <c r="C3" s="1" t="s">
        <v>25</v>
      </c>
      <c r="D3" s="4">
        <f>AVERAGE(25.941,25.951,25.9458,25.9385,25.9365,25.9369,25.9321,25.9371,25.9405,25.9233)</f>
        <v>25.938269999999996</v>
      </c>
    </row>
    <row r="4" spans="1:7" x14ac:dyDescent="0.2">
      <c r="A4" s="1">
        <v>3</v>
      </c>
      <c r="B4" s="1">
        <v>1</v>
      </c>
      <c r="C4" s="1" t="s">
        <v>14</v>
      </c>
      <c r="D4" s="4">
        <f>AVERAGE(28.3891,28.4167,28.3939,28.4608,28.4442,28.4403,28.4686,28.4151,28.5032,28.5218)</f>
        <v>28.445369999999997</v>
      </c>
    </row>
    <row r="5" spans="1:7" x14ac:dyDescent="0.2">
      <c r="A5" s="1">
        <v>4</v>
      </c>
      <c r="B5" s="1">
        <v>2</v>
      </c>
      <c r="C5" s="1" t="s">
        <v>24</v>
      </c>
      <c r="D5" s="4">
        <f>AVERAGE(33.186,33.2154,33.2098,33.213,33.2479,33.2555,33.2425,33.2335,33.2222,33.2491)</f>
        <v>33.227489999999996</v>
      </c>
    </row>
    <row r="6" spans="1:7" x14ac:dyDescent="0.2">
      <c r="A6" s="1">
        <v>5</v>
      </c>
      <c r="B6" s="1">
        <v>2</v>
      </c>
      <c r="C6" s="1" t="s">
        <v>25</v>
      </c>
      <c r="D6" s="4">
        <f>AVERAGE(23.5914,23.5915,23.5892,23.567,23.5798,23.59,23.5923,23.5931,23.5882,23.5958)</f>
        <v>23.58783</v>
      </c>
    </row>
    <row r="7" spans="1:7" x14ac:dyDescent="0.2">
      <c r="A7" s="1">
        <v>6</v>
      </c>
      <c r="B7" s="1">
        <v>2</v>
      </c>
      <c r="C7" s="1" t="s">
        <v>14</v>
      </c>
      <c r="D7" s="4">
        <f>AVERAGE(24.4498,24.4505,24.4526,24.4533,24.4492,24.4628,24.2816,24.2928,23.7413,23.9771)</f>
        <v>24.301100000000002</v>
      </c>
    </row>
    <row r="8" spans="1:7" x14ac:dyDescent="0.2">
      <c r="D8" s="1"/>
    </row>
    <row r="9" spans="1:7" x14ac:dyDescent="0.2">
      <c r="D9" s="1"/>
    </row>
    <row r="10" spans="1:7" x14ac:dyDescent="0.2">
      <c r="D10" s="1"/>
    </row>
    <row r="11" spans="1:7" x14ac:dyDescent="0.2">
      <c r="D11" s="1"/>
    </row>
    <row r="12" spans="1:7" x14ac:dyDescent="0.2">
      <c r="D12" s="1"/>
    </row>
    <row r="13" spans="1:7" x14ac:dyDescent="0.2">
      <c r="D13" s="1"/>
    </row>
    <row r="17" spans="3:3" x14ac:dyDescent="0.2">
      <c r="C17"/>
    </row>
  </sheetData>
  <autoFilter ref="A1:D7" xr:uid="{F76305DC-6F18-4DB2-9205-297A5FF0E2C5}"/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377FC-9536-4B8B-BCA3-625322A01E8C}">
  <dimension ref="A1:E9"/>
  <sheetViews>
    <sheetView workbookViewId="0">
      <selection activeCell="D22" sqref="D22"/>
    </sheetView>
  </sheetViews>
  <sheetFormatPr defaultRowHeight="14.25" x14ac:dyDescent="0.2"/>
  <cols>
    <col min="1" max="1" width="21.875" style="1" customWidth="1"/>
    <col min="2" max="2" width="14.875" customWidth="1"/>
    <col min="3" max="3" width="10.875" customWidth="1"/>
    <col min="4" max="5" width="19.875" customWidth="1"/>
  </cols>
  <sheetData>
    <row r="1" spans="1:5" x14ac:dyDescent="0.2">
      <c r="A1" s="3" t="s">
        <v>2</v>
      </c>
      <c r="B1" s="3" t="s">
        <v>3</v>
      </c>
      <c r="C1" s="3" t="s">
        <v>34</v>
      </c>
      <c r="D1" s="3" t="s">
        <v>35</v>
      </c>
      <c r="E1" s="3" t="s">
        <v>11</v>
      </c>
    </row>
    <row r="2" spans="1:5" x14ac:dyDescent="0.2">
      <c r="A2" s="1">
        <v>1</v>
      </c>
      <c r="B2" s="1">
        <v>1300</v>
      </c>
      <c r="C2" s="4">
        <f>(1301.88+1302.11+1302.09+1302.2+1302.18)/5</f>
        <v>1302.0920000000001</v>
      </c>
      <c r="D2" s="4">
        <f>(1.88+2.1+2.1+2.2+2.18)/5</f>
        <v>2.0920000000000001</v>
      </c>
      <c r="E2" s="4">
        <f>AVERAGE(0.707,0.701,0.712,0.702,0.729,0.712,0.711,0.732,0.709,0.704)</f>
        <v>0.71189999999999998</v>
      </c>
    </row>
    <row r="3" spans="1:5" x14ac:dyDescent="0.2">
      <c r="A3" s="1">
        <v>2</v>
      </c>
      <c r="B3" s="1">
        <v>1500</v>
      </c>
      <c r="C3" s="4">
        <f>(1498.11+1498.42+1498.3+1498.34+1498.15)/5</f>
        <v>1498.2639999999999</v>
      </c>
      <c r="D3" s="4">
        <f>(1.89+1.57+1.7+1.66+1.85)/5</f>
        <v>1.734</v>
      </c>
      <c r="E3" s="4">
        <f>AVERAGE(0.64,0.637,0.668,0.661,0.64,0.652,0.661,0.643,0.655,0.665)</f>
        <v>0.65220000000000011</v>
      </c>
    </row>
    <row r="4" spans="1:5" x14ac:dyDescent="0.2">
      <c r="A4" s="1">
        <v>3</v>
      </c>
      <c r="B4" s="1">
        <v>1700</v>
      </c>
      <c r="C4" s="4">
        <f>(1706.52+1706.23+1706.28+1706.27+1706.36)/5</f>
        <v>1706.3319999999999</v>
      </c>
      <c r="D4" s="4">
        <f>(6.52+6.23+6.28+6.27+6.36)/5</f>
        <v>6.3319999999999999</v>
      </c>
      <c r="E4" s="4">
        <f>AVERAGE(0.664,0.639,0.647,0.656,0.664,0.686,0.68,0.668,0.661,0.653)</f>
        <v>0.66180000000000005</v>
      </c>
    </row>
    <row r="5" spans="1:5" x14ac:dyDescent="0.2">
      <c r="A5" s="1">
        <v>4</v>
      </c>
      <c r="B5" s="1">
        <v>1900</v>
      </c>
      <c r="C5" s="4">
        <f>(1903.04+1903.06+1902.93+1903+1903.11)/5</f>
        <v>1903.0279999999998</v>
      </c>
      <c r="D5" s="4">
        <f>(3.04+3.06+2.93+3+3.11)/5</f>
        <v>3.0279999999999996</v>
      </c>
      <c r="E5" s="4">
        <f>AVERAGE(0.948,0.916,0.949,0.952,0.954,0.951,0.927,0.938,0.954,0.912)</f>
        <v>0.94009999999999994</v>
      </c>
    </row>
    <row r="6" spans="1:5" x14ac:dyDescent="0.2">
      <c r="A6" s="1">
        <v>5</v>
      </c>
      <c r="B6" s="1">
        <v>2100</v>
      </c>
      <c r="C6" s="4">
        <f>(2100.06+2099.75+2100.06+2100.24+2100.07)/5</f>
        <v>2100.0359999999996</v>
      </c>
      <c r="D6" s="4">
        <f>(0.056+0.247+0.061+0.243+0.069)/5</f>
        <v>0.13519999999999999</v>
      </c>
      <c r="E6" s="4">
        <f>AVERAGE(1.64,1.649,2.569,1.55,1.756,1.46,1.522,1.65,1.917,1.529)</f>
        <v>1.7241999999999997</v>
      </c>
    </row>
    <row r="7" spans="1:5" x14ac:dyDescent="0.2">
      <c r="A7" s="1">
        <v>6</v>
      </c>
      <c r="B7" s="1">
        <v>2300</v>
      </c>
      <c r="C7" s="4">
        <f>(2306.82+2306.96+2306.97+2306.78+2307.02)/5</f>
        <v>2306.9100000000003</v>
      </c>
      <c r="D7" s="4">
        <f>(6.82+6.96+6.97+6.78+7.02)/5</f>
        <v>6.9099999999999993</v>
      </c>
      <c r="E7" s="4">
        <f>AVERAGE(1.436,1.675,2.062,2.055,1.543,2.092,1.858,1.617,1.622,1.383)</f>
        <v>1.7343</v>
      </c>
    </row>
    <row r="8" spans="1:5" x14ac:dyDescent="0.2">
      <c r="A8" s="1">
        <v>7</v>
      </c>
      <c r="B8" s="1">
        <v>2500</v>
      </c>
      <c r="C8" s="4">
        <f>(2504.17+2503.91+2504.34+2503.68+2503.96)/5</f>
        <v>2504.0120000000002</v>
      </c>
      <c r="D8" s="4">
        <f>(4.17+3.91+4.34+3.68+3.96)/5</f>
        <v>4.0120000000000005</v>
      </c>
      <c r="E8" s="4">
        <f>AVERAGE(0.944,0.875,0.905,0.958,0.884,0.899,0.948,0.934,0.938,0.971)</f>
        <v>0.92559999999999998</v>
      </c>
    </row>
    <row r="9" spans="1:5" x14ac:dyDescent="0.2">
      <c r="A9" s="1">
        <v>8</v>
      </c>
      <c r="B9" s="1">
        <v>2700</v>
      </c>
      <c r="C9" s="4">
        <f>(2697.59+2697.84+2697.58+2698+2697.99)/5</f>
        <v>2697.8</v>
      </c>
      <c r="D9" s="4">
        <f>(2.41+2.16+2.42+2+2.01)/5</f>
        <v>2.2000000000000002</v>
      </c>
      <c r="E9" s="4">
        <f>AVERAGE(1.484,1.46,1.568,1.258,1.443,1.359,1.463,1.404,1.376,1.447)</f>
        <v>1.4262000000000001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E562F-1ED1-4DFE-AE11-54C65F60F6B9}">
  <dimension ref="A1:E9"/>
  <sheetViews>
    <sheetView zoomScaleNormal="100" workbookViewId="0">
      <selection activeCell="D18" sqref="D18"/>
    </sheetView>
  </sheetViews>
  <sheetFormatPr defaultRowHeight="14.25" x14ac:dyDescent="0.2"/>
  <cols>
    <col min="1" max="1" width="17.625" style="1" customWidth="1"/>
    <col min="2" max="2" width="26.25" style="1" customWidth="1"/>
    <col min="3" max="3" width="17.625" style="1" customWidth="1"/>
    <col min="4" max="5" width="15.25" style="1" customWidth="1"/>
  </cols>
  <sheetData>
    <row r="1" spans="1:5" x14ac:dyDescent="0.2">
      <c r="A1" s="3" t="s">
        <v>2</v>
      </c>
      <c r="B1" s="3" t="s">
        <v>31</v>
      </c>
      <c r="C1" s="3" t="s">
        <v>6</v>
      </c>
      <c r="D1" s="3" t="s">
        <v>7</v>
      </c>
      <c r="E1" s="3" t="s">
        <v>8</v>
      </c>
    </row>
    <row r="2" spans="1:5" x14ac:dyDescent="0.2">
      <c r="A2" s="1">
        <v>1</v>
      </c>
      <c r="B2" s="1">
        <v>15</v>
      </c>
      <c r="C2" s="5">
        <f>AVERAGE(1682,1682,1682,1682,1682,1682,1682,1682,1682,1682)</f>
        <v>1682</v>
      </c>
      <c r="D2" s="5">
        <f t="shared" ref="D2:D9" si="0">AVERAGE(2331,2331,2331,2331,2331,2331,2331,2331,2331,2331)</f>
        <v>2331</v>
      </c>
      <c r="E2" s="7">
        <f t="shared" ref="E2:E9" si="1">C2/D2</f>
        <v>0.7215787215787216</v>
      </c>
    </row>
    <row r="3" spans="1:5" x14ac:dyDescent="0.2">
      <c r="A3" s="1">
        <v>2</v>
      </c>
      <c r="B3" s="1">
        <v>30</v>
      </c>
      <c r="C3" s="5">
        <f>AVERAGE(1682,1682,1682,1740,1682,1682,1682,1682,1682,1682)</f>
        <v>1687.8</v>
      </c>
      <c r="D3" s="5">
        <f t="shared" si="0"/>
        <v>2331</v>
      </c>
      <c r="E3" s="7">
        <f t="shared" si="1"/>
        <v>0.72406692406692408</v>
      </c>
    </row>
    <row r="4" spans="1:5" x14ac:dyDescent="0.2">
      <c r="A4" s="1">
        <v>3</v>
      </c>
      <c r="B4" s="1">
        <v>45</v>
      </c>
      <c r="C4" s="5">
        <f>AVERAGE(1682,1682,1682,1682,1682,1682,1682,1740,1682,1682)</f>
        <v>1687.8</v>
      </c>
      <c r="D4" s="5">
        <f t="shared" si="0"/>
        <v>2331</v>
      </c>
      <c r="E4" s="7">
        <f t="shared" si="1"/>
        <v>0.72406692406692408</v>
      </c>
    </row>
    <row r="5" spans="1:5" x14ac:dyDescent="0.2">
      <c r="A5" s="1">
        <v>4</v>
      </c>
      <c r="B5" s="1">
        <v>60</v>
      </c>
      <c r="C5" s="5">
        <f>AVERAGE(1682,1682,1682,1682,1682,1682,1682,1682,1682,1682)</f>
        <v>1682</v>
      </c>
      <c r="D5" s="5">
        <f t="shared" si="0"/>
        <v>2331</v>
      </c>
      <c r="E5" s="7">
        <f t="shared" si="1"/>
        <v>0.7215787215787216</v>
      </c>
    </row>
    <row r="6" spans="1:5" x14ac:dyDescent="0.2">
      <c r="A6" s="1">
        <v>5</v>
      </c>
      <c r="B6" s="1">
        <v>75</v>
      </c>
      <c r="C6" s="5">
        <f>AVERAGE(1682,1682,1682,1682,1682,1682,1682,1682,1682,1682)</f>
        <v>1682</v>
      </c>
      <c r="D6" s="5">
        <f t="shared" si="0"/>
        <v>2331</v>
      </c>
      <c r="E6" s="7">
        <f t="shared" si="1"/>
        <v>0.7215787215787216</v>
      </c>
    </row>
    <row r="7" spans="1:5" x14ac:dyDescent="0.2">
      <c r="A7" s="1">
        <v>6</v>
      </c>
      <c r="B7" s="1">
        <v>90</v>
      </c>
      <c r="C7" s="5">
        <f>AVERAGE(1682,1682,1682,1682,1682,1682,1682,1682,1682,1682)</f>
        <v>1682</v>
      </c>
      <c r="D7" s="5">
        <f t="shared" si="0"/>
        <v>2331</v>
      </c>
      <c r="E7" s="7">
        <f t="shared" si="1"/>
        <v>0.7215787215787216</v>
      </c>
    </row>
    <row r="8" spans="1:5" x14ac:dyDescent="0.2">
      <c r="A8" s="1">
        <v>7</v>
      </c>
      <c r="B8" s="1">
        <v>105</v>
      </c>
      <c r="C8" s="5">
        <f>AVERAGE(1682,1682,1682,1740,1682,1682,1711,1682,1682,1682)</f>
        <v>1690.7</v>
      </c>
      <c r="D8" s="5">
        <f t="shared" si="0"/>
        <v>2331</v>
      </c>
      <c r="E8" s="7">
        <f t="shared" si="1"/>
        <v>0.72531102531102531</v>
      </c>
    </row>
    <row r="9" spans="1:5" x14ac:dyDescent="0.2">
      <c r="A9" s="1">
        <v>8</v>
      </c>
      <c r="B9" s="1">
        <v>120</v>
      </c>
      <c r="C9" s="5">
        <f>AVERAGE(1682,1682,1682,1740,1682,1682,1682,1682,1682,1682)</f>
        <v>1687.8</v>
      </c>
      <c r="D9" s="5">
        <f t="shared" si="0"/>
        <v>2331</v>
      </c>
      <c r="E9" s="7">
        <f t="shared" si="1"/>
        <v>0.72406692406692408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1-1</vt:lpstr>
      <vt:lpstr>1-2</vt:lpstr>
      <vt:lpstr>1-3</vt:lpstr>
      <vt:lpstr>1-4</vt:lpstr>
      <vt:lpstr>1-5</vt:lpstr>
      <vt:lpstr>2-1</vt:lpstr>
      <vt:lpstr>2-2</vt:lpstr>
      <vt:lpstr>2-3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kailin.zhuang</dc:creator>
  <cp:lastModifiedBy>kailin.zhuang</cp:lastModifiedBy>
  <dcterms:created xsi:type="dcterms:W3CDTF">2015-06-05T18:19:34Z</dcterms:created>
  <dcterms:modified xsi:type="dcterms:W3CDTF">2023-08-25T08:04:14Z</dcterms:modified>
</cp:coreProperties>
</file>